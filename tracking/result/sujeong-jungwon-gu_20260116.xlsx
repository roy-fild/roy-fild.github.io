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<sst xmlns="http://schemas.openxmlformats.org/spreadsheetml/2006/main" count="5752" uniqueCount="1024">
  <si>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</si>
  <si>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</si>
  <si>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</si>
  <si>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</si>
  <si>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</si>
  <si>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</si>
  <si>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</si>
  <si>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</si>
  <si>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</si>
  <si>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</si>
  <si>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</si>
  <si>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</si>
  <si>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</si>
  <si>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</si>
  <si>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</si>
  <si>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</si>
  <si>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</si>
  <si>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</si>
  <si>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</si>
  <si>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</si>
  <si>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</si>
  <si>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</si>
  <si>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</si>
  <si>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</si>
  <si>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</si>
  <si>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</si>
  <si>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</si>
  <si>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</si>
  <si>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</si>
  <si>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</si>
  <si>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</si>
  <si>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</si>
  <si>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</si>
  <si>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</si>
  <si>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10</t>
  </si>
  <si>
    <t>0</t>
  </si>
  <si>
    <t>510동(고/15)</t>
  </si>
  <si>
    <t>확장형 인테리어굿 확트인탄천조망굿 초중교인근단지.</t>
  </si>
  <si>
    <t>-1.1%</t>
  </si>
  <si>
    <t>-</t>
  </si>
  <si>
    <t>75</t>
  </si>
  <si>
    <t>97A</t>
  </si>
  <si>
    <t>1</t>
  </si>
  <si>
    <t>512동(9/15)</t>
  </si>
  <si>
    <t>전망 판상형 로열층</t>
  </si>
  <si>
    <t>9.0%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</si>
  <si>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</si>
  <si>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</si>
  <si>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</si>
  <si>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</si>
  <si>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</si>
  <si>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</si>
  <si>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</si>
  <si>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</si>
  <si>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</si>
  <si>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</si>
  <si>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501동(10/15)</t>
  </si>
  <si>
    <t>정남향,올수리,상태최상,전망최상,집보기쉬움</t>
  </si>
  <si>
    <t>0.0%</t>
  </si>
  <si>
    <t>108AN</t>
  </si>
  <si>
    <t>6</t>
  </si>
  <si>
    <t>108B</t>
  </si>
  <si>
    <t>7</t>
  </si>
  <si>
    <t>510동(14/15)</t>
  </si>
  <si>
    <t>로얄동 탁트인천변전망 채광굿 인기타입 초중교접함</t>
  </si>
  <si>
    <t>-5.6%</t>
  </si>
  <si>
    <t>108BN</t>
  </si>
  <si>
    <t>8</t>
  </si>
  <si>
    <t>108C</t>
  </si>
  <si>
    <t>9</t>
  </si>
  <si>
    <t>502동(5/15)</t>
  </si>
  <si>
    <t>정남향,주인거주,집상태최상,전망최고</t>
  </si>
  <si>
    <t>108D</t>
  </si>
  <si>
    <t>102038</t>
  </si>
  <si>
    <t>LH동분당센트럴파크</t>
  </si>
  <si>
    <t>842</t>
  </si>
  <si>
    <t>74</t>
  </si>
  <si>
    <t>99A</t>
  </si>
  <si>
    <t>99B</t>
  </si>
  <si>
    <t>116동(중/15)</t>
  </si>
  <si>
    <t>로얄동,산조망,남향, 특인테리어,정상입주</t>
  </si>
  <si>
    <t>15.2%</t>
  </si>
  <si>
    <t>112A</t>
  </si>
  <si>
    <t>112B</t>
  </si>
  <si>
    <t>112C</t>
  </si>
  <si>
    <t>109동(4/15)</t>
  </si>
  <si>
    <t>특올수리화이트,주인,인기타입,집보기쉬움,전망최고</t>
  </si>
  <si>
    <t>7.1%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</si>
  <si>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</si>
  <si>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</si>
  <si>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</si>
  <si>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</si>
  <si>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</si>
  <si>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</si>
  <si>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</si>
  <si>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</si>
  <si>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</si>
  <si>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107동(중/18)</t>
  </si>
  <si>
    <t>1.15확인 전자계약가능 최근리모델링 집상태 최상 추천매물</t>
  </si>
  <si>
    <t>59</t>
  </si>
  <si>
    <t>84A</t>
  </si>
  <si>
    <t>104동(고/17)</t>
  </si>
  <si>
    <t>역세권5분,주변개발로 생활이편리함,고층이라 전망좋음 전실이있어편리함</t>
  </si>
  <si>
    <t>9.8%</t>
  </si>
  <si>
    <t>114</t>
  </si>
  <si>
    <t>146B</t>
  </si>
  <si>
    <t>계|4|2</t>
  </si>
  <si>
    <t>113A</t>
  </si>
  <si>
    <t>146A</t>
  </si>
  <si>
    <t>84B</t>
  </si>
  <si>
    <t>84C</t>
  </si>
  <si>
    <t>84B1</t>
  </si>
  <si>
    <t>103동(7/19)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</si>
  <si>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</si>
  <si>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</si>
  <si>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</si>
  <si>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</si>
  <si>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</si>
  <si>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</si>
  <si>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</si>
  <si>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</si>
  <si>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</si>
  <si>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</si>
  <si>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</si>
  <si>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</si>
  <si>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20</t>
  </si>
  <si>
    <t>71M</t>
  </si>
  <si>
    <t>214동(14/15)</t>
  </si>
  <si>
    <t>72G</t>
  </si>
  <si>
    <t>13</t>
  </si>
  <si>
    <t>216동(9/15)</t>
  </si>
  <si>
    <t>전망 좋고 올수리된 아주 좋은 아파트입니다</t>
  </si>
  <si>
    <t>72L</t>
  </si>
  <si>
    <t>14</t>
  </si>
  <si>
    <t>202동(14/14)</t>
  </si>
  <si>
    <t>정상 주인거주 전망최고  A타입 조정가</t>
  </si>
  <si>
    <t>83K</t>
  </si>
  <si>
    <t>15</t>
  </si>
  <si>
    <t>83P</t>
  </si>
  <si>
    <t>16</t>
  </si>
  <si>
    <t>71C</t>
  </si>
  <si>
    <t>204동(15/15)</t>
  </si>
  <si>
    <t>최상층 3베이C구조 신혼부부추천 새 집처럼 깔끔 남서향 고층뷰</t>
  </si>
  <si>
    <t>71B</t>
  </si>
  <si>
    <t>207동(7/15)</t>
  </si>
  <si>
    <t>거실 넓은 선호타입, 관리 굿, 주인거주,입주협의</t>
  </si>
  <si>
    <t>72A</t>
  </si>
  <si>
    <t>83D</t>
  </si>
  <si>
    <t>204동(10/15)</t>
  </si>
  <si>
    <t>깔끔한집 ,조망 햇볕 좋은집 입니다</t>
  </si>
  <si>
    <t>11.3%</t>
  </si>
  <si>
    <t>83E</t>
  </si>
  <si>
    <t>213동(13/15)</t>
  </si>
  <si>
    <t>막힌앞동이 없어 조망,채광 좋아요</t>
  </si>
  <si>
    <t>6.3%</t>
  </si>
  <si>
    <t>83F</t>
  </si>
  <si>
    <t>72O</t>
  </si>
  <si>
    <t>83J</t>
  </si>
  <si>
    <t>216동(14/15)</t>
  </si>
  <si>
    <t>25,판상형,뷰최고</t>
  </si>
  <si>
    <t>71I</t>
  </si>
  <si>
    <t>71N</t>
  </si>
  <si>
    <t>107661</t>
  </si>
  <si>
    <t>수정</t>
  </si>
  <si>
    <t>창곡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</si>
  <si>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</si>
  <si>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</si>
  <si>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</si>
  <si>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</si>
  <si>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</si>
  <si>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</si>
  <si>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</si>
  <si>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</si>
  <si>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STAR추천 입주가능 내부컨디션좋음 시스템에어컨풀  초품아 트인뷰</t>
  </si>
  <si>
    <t>121D</t>
  </si>
  <si>
    <t>122B</t>
  </si>
  <si>
    <t>101</t>
  </si>
  <si>
    <t>131A1</t>
  </si>
  <si>
    <t>5406동(중/25)</t>
  </si>
  <si>
    <t>FP,입주가, 에어컨풀, 넓은 거실, 로얄동,호, 학교 상가인접동</t>
  </si>
  <si>
    <t>131A2</t>
  </si>
  <si>
    <t>131B</t>
  </si>
  <si>
    <t>131D</t>
  </si>
  <si>
    <t>5407동(22/25)</t>
  </si>
  <si>
    <t>132C</t>
  </si>
  <si>
    <t>5405동(중/25)</t>
  </si>
  <si>
    <t>107715</t>
  </si>
  <si>
    <t>위례래미안이편한세상</t>
  </si>
  <si>
    <t>1540</t>
  </si>
  <si>
    <t>19</t>
  </si>
  <si>
    <t>5604동(8/15)</t>
  </si>
  <si>
    <t>5616동(고/15)</t>
  </si>
  <si>
    <t>시온 입주 학교,상가인접동 프리미엄 마운틴뷰 판상형 관리잘된 컨디션</t>
  </si>
  <si>
    <t>12.6%</t>
  </si>
  <si>
    <t>-20.9%</t>
  </si>
  <si>
    <t>101B</t>
  </si>
  <si>
    <t>111A</t>
  </si>
  <si>
    <t>5615동(고/15)</t>
  </si>
  <si>
    <t>5618동(6/18)</t>
  </si>
  <si>
    <t>입주매물,에어컨유,남위례역근접동,집상태최상</t>
  </si>
  <si>
    <t>10.4%</t>
  </si>
  <si>
    <t>-18.7%</t>
  </si>
  <si>
    <t>5616동(6/15)</t>
  </si>
  <si>
    <t>5616동(중/15)</t>
  </si>
  <si>
    <t>남위례역 가까운 로얄동, 다양한 입주민시설,학교 근접, 상권근접 입주협의</t>
  </si>
  <si>
    <t>11.7%</t>
  </si>
  <si>
    <t>-20.0%</t>
  </si>
  <si>
    <t>5610동(7/21)</t>
  </si>
  <si>
    <t>34, 입주 로얄 커뮤니티 지하철역근접동 트인조망 채광우수</t>
  </si>
  <si>
    <t>13.5%</t>
  </si>
  <si>
    <t>107924</t>
  </si>
  <si>
    <t>위례더힐55</t>
  </si>
  <si>
    <t>1380</t>
  </si>
  <si>
    <t>85</t>
  </si>
  <si>
    <t>25</t>
  </si>
  <si>
    <t>5511동(고/17)</t>
  </si>
  <si>
    <t>5506동(10/15)</t>
  </si>
  <si>
    <t>L 풀에어컨 입주 앞뒤로 트여 쾌적한 주거환경 내부컨디션 깔끔합니다</t>
  </si>
  <si>
    <t>-2.4%</t>
  </si>
  <si>
    <t>5.7%</t>
  </si>
  <si>
    <t>114B</t>
  </si>
  <si>
    <t>5510동(고/20)</t>
  </si>
  <si>
    <t>愛34 입주 채광굿 탁트인 전망 깨끗하고 관리잘된집</t>
  </si>
  <si>
    <t>114C</t>
  </si>
  <si>
    <t>5501동(고/12)</t>
  </si>
  <si>
    <t>5509동(중/19)</t>
  </si>
  <si>
    <t>33. 채광좋은 집. 내부상태 굿. 초중고 인접동. 상가. 교통 이용편리</t>
  </si>
  <si>
    <t>6.7%</t>
  </si>
  <si>
    <t>-12.2%</t>
  </si>
  <si>
    <t>147</t>
  </si>
  <si>
    <t>176</t>
  </si>
  <si>
    <t>5520동(고/20)</t>
  </si>
  <si>
    <t>Happy.빠른입주가능. 확트인 숲세권. 조용하고 채광좋은 밝은집.</t>
  </si>
  <si>
    <t>145</t>
  </si>
  <si>
    <t>177B1</t>
  </si>
  <si>
    <t>177A1</t>
  </si>
  <si>
    <t>149</t>
  </si>
  <si>
    <t>177B</t>
  </si>
  <si>
    <t>177A</t>
  </si>
  <si>
    <t>5521동(중/20)</t>
  </si>
  <si>
    <t>5520동(중/20)</t>
  </si>
  <si>
    <t>햇살이 좋은 남향 밝고 쾌적한 주거환경</t>
  </si>
  <si>
    <t>109266</t>
  </si>
  <si>
    <t>위례센트럴자이</t>
  </si>
  <si>
    <t>2017</t>
  </si>
  <si>
    <t>1413</t>
  </si>
  <si>
    <t>3213동(고/15)</t>
  </si>
  <si>
    <t>센트럴자이,집상태최상,입주협의 공동x</t>
  </si>
  <si>
    <t>27.4%</t>
  </si>
  <si>
    <t>-36.2%</t>
  </si>
  <si>
    <t>83A</t>
  </si>
  <si>
    <t>3205동(중/15)</t>
  </si>
  <si>
    <t>계|2|2</t>
  </si>
  <si>
    <t>98</t>
  </si>
  <si>
    <t>112</t>
  </si>
  <si>
    <t>3201동(중/15)</t>
  </si>
  <si>
    <t>공동x, 정남향, 광장이용편리, 방4개, 집상태깔끔</t>
  </si>
  <si>
    <t>24.3%</t>
  </si>
  <si>
    <t>110632</t>
  </si>
  <si>
    <t>위례역푸르지오</t>
  </si>
  <si>
    <t>620</t>
  </si>
  <si>
    <t>83</t>
  </si>
  <si>
    <t>109A4</t>
  </si>
  <si>
    <t>405동(고/20)</t>
  </si>
  <si>
    <t>남위례역 최인접단지 도보권, 뷰좋음, 조용한단지</t>
  </si>
  <si>
    <t>14.6%</t>
  </si>
  <si>
    <t>109B4</t>
  </si>
  <si>
    <t>109A5</t>
  </si>
  <si>
    <t>109B5</t>
  </si>
  <si>
    <t>109A6</t>
  </si>
  <si>
    <t>601동(중/19)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</si>
  <si>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</si>
  <si>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</si>
  <si>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</si>
  <si>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</si>
  <si>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</si>
  <si>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</si>
  <si>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</si>
  <si>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</si>
  <si>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</si>
  <si>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</si>
  <si>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</si>
  <si>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102동(고/15)</t>
  </si>
  <si>
    <t>역세권 평지 개별난방  채광좋고 뻥뷰</t>
  </si>
  <si>
    <t>-13.5%</t>
  </si>
  <si>
    <t>94S</t>
  </si>
  <si>
    <t>113013</t>
  </si>
  <si>
    <t>태평</t>
  </si>
  <si>
    <t>가천대역두산위브</t>
  </si>
  <si>
    <t>2018</t>
  </si>
  <si>
    <t>503</t>
  </si>
  <si>
    <t>81A</t>
  </si>
  <si>
    <t>81B</t>
  </si>
  <si>
    <t>106동(중/15)</t>
  </si>
  <si>
    <t>102동(고/14)</t>
  </si>
  <si>
    <t>확장형.남향의4bay구조.주인거주잘관리된 예쁜집.</t>
  </si>
  <si>
    <t>-14.9%</t>
  </si>
  <si>
    <t>50.0%</t>
  </si>
  <si>
    <t>82D</t>
  </si>
  <si>
    <t>105동(14/15)</t>
  </si>
  <si>
    <t>105동(고/15)</t>
  </si>
  <si>
    <t>확장형.최고의전망.식세기.2in1에어컨.고층의 환하고 예쁜집.집상태최상</t>
  </si>
  <si>
    <t>-16.1%</t>
  </si>
  <si>
    <t>56.0%</t>
  </si>
  <si>
    <t>82C</t>
  </si>
  <si>
    <t>105동(4/15)</t>
  </si>
  <si>
    <t>확장.정남향.판상형구조.환하고 밝아 예쁜집.집상태최고.</t>
  </si>
  <si>
    <t>-16.7%</t>
  </si>
  <si>
    <t>59.2%</t>
  </si>
  <si>
    <t>107동(고/15)</t>
  </si>
  <si>
    <t>역세권 근접 신축에 가까워 상태 양호함 수익률 기대되는 저평가 단지</t>
  </si>
  <si>
    <t>-6.7%</t>
  </si>
  <si>
    <t>67</t>
  </si>
  <si>
    <t>92</t>
  </si>
  <si>
    <t>104동(고/13)</t>
  </si>
  <si>
    <t>확장형. 채광 좋음, 잘 빠진 구조, 입주협의</t>
  </si>
  <si>
    <t>118718</t>
  </si>
  <si>
    <t>고등</t>
  </si>
  <si>
    <t>판교밸리호반써밋</t>
  </si>
  <si>
    <t>2019</t>
  </si>
  <si>
    <t>768</t>
  </si>
  <si>
    <t>110A</t>
  </si>
  <si>
    <t>35</t>
  </si>
  <si>
    <t>204동(9/14)</t>
  </si>
  <si>
    <t>209동(고/12)</t>
  </si>
  <si>
    <t>전망,깔끔한 인테리어,팬트리 구조</t>
  </si>
  <si>
    <t>-13.1%</t>
  </si>
  <si>
    <t>34.2%</t>
  </si>
  <si>
    <t>215동(고/14)</t>
  </si>
  <si>
    <t>트인뷰, 탑층, 방4, 시스템에어컨, 정갈한집</t>
  </si>
  <si>
    <t>118771</t>
  </si>
  <si>
    <t>산성역포레스티아</t>
  </si>
  <si>
    <t>2020</t>
  </si>
  <si>
    <t>4089</t>
  </si>
  <si>
    <t>113PC</t>
  </si>
  <si>
    <t>60</t>
  </si>
  <si>
    <t>31</t>
  </si>
  <si>
    <t>123동(26/26)</t>
  </si>
  <si>
    <t>산성역 초역세권,펜트,풀에어컨,.복층,힐링공간넓은테라스,입주협의</t>
  </si>
  <si>
    <t>9.6%</t>
  </si>
  <si>
    <t>77A</t>
  </si>
  <si>
    <t>101동(중/14)</t>
  </si>
  <si>
    <t>뻥뷰. 햇살좋고 따뜻한집. 학세권동. 상가이용편리. 주차편리.</t>
  </si>
  <si>
    <t>114PD</t>
  </si>
  <si>
    <t>86A</t>
  </si>
  <si>
    <t>115동(고/24)</t>
  </si>
  <si>
    <t>106동(고/20)</t>
  </si>
  <si>
    <t>숲세권. 시스템에어컨. 입주일협의</t>
  </si>
  <si>
    <t>12.5%</t>
  </si>
  <si>
    <t>-21.4%</t>
  </si>
  <si>
    <t>95B</t>
  </si>
  <si>
    <t>125동(중/25)</t>
  </si>
  <si>
    <t>130동(고/25)</t>
  </si>
  <si>
    <t>산성역이용편리. 커뮤니티이용편리. 광폭거실. 판상형.</t>
  </si>
  <si>
    <t>6.8%</t>
  </si>
  <si>
    <t>96A</t>
  </si>
  <si>
    <t>110동(중/28)</t>
  </si>
  <si>
    <t>111동(고/28)</t>
  </si>
  <si>
    <t>74  입주협의 정남향 넓은거실 탁트인뷰</t>
  </si>
  <si>
    <t>5.3%</t>
  </si>
  <si>
    <t>-10.0%</t>
  </si>
  <si>
    <t>112동(고/28)</t>
  </si>
  <si>
    <t>84 급매 빠른입주가능 에어컨풀 집상태 최상</t>
  </si>
  <si>
    <t>-20.5%</t>
  </si>
  <si>
    <t>57.7%</t>
  </si>
  <si>
    <t>125동(7/25)</t>
  </si>
  <si>
    <t>산성역 초역세권,추천매매,로얄동.풀에어컨,트인뷰,채광굿,입주협의</t>
  </si>
  <si>
    <t>-15.1%</t>
  </si>
  <si>
    <t>125A</t>
  </si>
  <si>
    <t>124동(6/26)</t>
  </si>
  <si>
    <t>로얄동 역세권 에어컨옵션 입주협의 일조굿</t>
  </si>
  <si>
    <t>107T</t>
  </si>
  <si>
    <t>139동(중/4)</t>
  </si>
  <si>
    <t>귀한 테라스하우스,평지라인,풀에어컨,채광굿,입주협의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</si>
  <si>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</si>
  <si>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</si>
  <si>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</si>
  <si>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</si>
  <si>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</si>
  <si>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</si>
  <si>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118동(고/24)</t>
  </si>
  <si>
    <t>복층.펜트.초역세권동.시스템에어컨풀.일조량풍부.</t>
  </si>
  <si>
    <t>122483</t>
  </si>
  <si>
    <t>금광</t>
  </si>
  <si>
    <t>한양수자인성남마크뷰</t>
  </si>
  <si>
    <t>2021</t>
  </si>
  <si>
    <t>711</t>
  </si>
  <si>
    <t>40</t>
  </si>
  <si>
    <t>56</t>
  </si>
  <si>
    <t>302동(고/15)</t>
  </si>
  <si>
    <t>302동(중/15)</t>
  </si>
  <si>
    <t>넓은구조공간 전망굿 에어컨 중문  버스 주민편의시설 학교 접근최고</t>
  </si>
  <si>
    <t>50</t>
  </si>
  <si>
    <t>69A</t>
  </si>
  <si>
    <t>304동(중/22)</t>
  </si>
  <si>
    <t>304동(5/22)</t>
  </si>
  <si>
    <t>에어컨.중문 넓은펜트리구조 안방붙밖이     입주일협의  전망좋은집</t>
  </si>
  <si>
    <t>-11.9%</t>
  </si>
  <si>
    <t>38.0%</t>
  </si>
  <si>
    <t>69B</t>
  </si>
  <si>
    <t>303동(고/19)</t>
  </si>
  <si>
    <t>82A</t>
  </si>
  <si>
    <t>305동(고/24)</t>
  </si>
  <si>
    <t>황송공원 힐링뷰 시스템에어컨 중문설치 날짜협의</t>
  </si>
  <si>
    <t>-3.6%</t>
  </si>
  <si>
    <t>82B</t>
  </si>
  <si>
    <t>306동(고/25)</t>
  </si>
  <si>
    <t>102</t>
  </si>
  <si>
    <t>126145</t>
  </si>
  <si>
    <t>신흥역하늘채랜더스원1단지</t>
  </si>
  <si>
    <t>2022</t>
  </si>
  <si>
    <t>1267</t>
  </si>
  <si>
    <t>97A1</t>
  </si>
  <si>
    <t>98B1</t>
  </si>
  <si>
    <t>104동(고/19)</t>
  </si>
  <si>
    <t xml:space="preserve">협의입주 신흥역8호선 신축3년 시스템에어컨4 </t>
  </si>
  <si>
    <t>18.9%</t>
  </si>
  <si>
    <t>-33.1%</t>
  </si>
  <si>
    <t>78B-1</t>
  </si>
  <si>
    <t>79A-1</t>
  </si>
  <si>
    <t>97B-1</t>
  </si>
  <si>
    <t>110동(4/17)</t>
  </si>
  <si>
    <t>협의입주 신축3년 신흥역8호선 지하철 초입동</t>
  </si>
  <si>
    <t>14.5%</t>
  </si>
  <si>
    <t>98A-1</t>
  </si>
  <si>
    <t>106동(고/24)</t>
  </si>
  <si>
    <t>106동(22/24)</t>
  </si>
  <si>
    <t>0317347070  입주협의 신축3년 신흥역초입동 교통편리</t>
  </si>
  <si>
    <t>-27.5%</t>
  </si>
  <si>
    <t>109A-1</t>
  </si>
  <si>
    <t>109동(고/21)</t>
  </si>
  <si>
    <t>신흥역세권 신축3년차 풀옵션 햇살좋음 추천매물</t>
  </si>
  <si>
    <t>8.0%</t>
  </si>
  <si>
    <t>78A1</t>
  </si>
  <si>
    <t>126153</t>
  </si>
  <si>
    <t>e편한세상금빛그랑메종1단지</t>
  </si>
  <si>
    <t>2023</t>
  </si>
  <si>
    <t>1135</t>
  </si>
  <si>
    <t>105A</t>
  </si>
  <si>
    <t>26</t>
  </si>
  <si>
    <t>109동(중/27)</t>
  </si>
  <si>
    <t>2.0%</t>
  </si>
  <si>
    <t>105C</t>
  </si>
  <si>
    <t>109동(고/27)</t>
  </si>
  <si>
    <t>리치추천 귀한펜트 시에풀등 풀옵션 넓은 테라스  환상의 파노라마뷰 신축</t>
  </si>
  <si>
    <t>25.6%</t>
  </si>
  <si>
    <t>78B</t>
  </si>
  <si>
    <t>102동(고/25)</t>
  </si>
  <si>
    <t>1단지 8호선 초 역세권, 전자계약서작성</t>
  </si>
  <si>
    <t>22.7%</t>
  </si>
  <si>
    <t>110E</t>
  </si>
  <si>
    <t>78A</t>
  </si>
  <si>
    <t>104동(4/28)</t>
  </si>
  <si>
    <t xml:space="preserve">1.15초역세권 해잘드는 정원이 예쁘게 보이는집 에어컨,인덕션,중문등 </t>
  </si>
  <si>
    <t>17.6%</t>
  </si>
  <si>
    <t>97D</t>
  </si>
  <si>
    <t>106동(중/28)</t>
  </si>
  <si>
    <t>1.15일확인 구조좋은74D 커뮤니티센터 이용편리 에어컨3 전자계약</t>
  </si>
  <si>
    <t>13.1%</t>
  </si>
  <si>
    <t>97B</t>
  </si>
  <si>
    <t>106동(고/28)</t>
  </si>
  <si>
    <t>전O속I 지하철역세권, 학세권I 풀옵션으로 시원한고층뷰</t>
  </si>
  <si>
    <t>14.8%</t>
  </si>
  <si>
    <t>98C</t>
  </si>
  <si>
    <t>105동(고/28)</t>
  </si>
  <si>
    <t>1.15일강추 전.속 4베이 역세권 초입동 에어컨3 인덕션 전자계약</t>
  </si>
  <si>
    <t>-28.0%</t>
  </si>
  <si>
    <t>105B</t>
  </si>
  <si>
    <t>101동(중/28)</t>
  </si>
  <si>
    <t>입주가능협의,시스템에어컨4,안방붙박이,중문,채광좋아요,</t>
  </si>
  <si>
    <t>105D</t>
  </si>
  <si>
    <t>13682</t>
  </si>
  <si>
    <t>수진</t>
  </si>
  <si>
    <t>삼정그린뷰</t>
  </si>
  <si>
    <t>2003</t>
  </si>
  <si>
    <t>274</t>
  </si>
  <si>
    <t>107</t>
  </si>
  <si>
    <t>102동(11/11)</t>
  </si>
  <si>
    <t>확장,넓은서비스면적,층간소음해방,남향</t>
  </si>
  <si>
    <t>-16.6%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</si>
  <si>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</si>
  <si>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</si>
  <si>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</si>
  <si>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</si>
  <si>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</si>
  <si>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</si>
  <si>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</si>
  <si>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</si>
  <si>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44</t>
  </si>
  <si>
    <t>107동(중/27)</t>
  </si>
  <si>
    <t>귀한51타입. 로열층. 풀에어컨. 안방붙박이장. 입,출입편리동</t>
  </si>
  <si>
    <t>79A</t>
  </si>
  <si>
    <t>109동(고/29)</t>
  </si>
  <si>
    <t>108동(중/29)</t>
  </si>
  <si>
    <t>추천 완벽 트인뷰.시에풀 최고 로열동</t>
  </si>
  <si>
    <t>20.2%</t>
  </si>
  <si>
    <t>-35.0%</t>
  </si>
  <si>
    <t>79B</t>
  </si>
  <si>
    <t>101동(10/27)</t>
  </si>
  <si>
    <t>110동(고/29)</t>
  </si>
  <si>
    <t>입주,개방감굿,시스템에어컨,중석식단지,커뮤니센타,전자계약,공원</t>
  </si>
  <si>
    <t>-31.8%</t>
  </si>
  <si>
    <t>79C</t>
  </si>
  <si>
    <t>104동(29/29)</t>
  </si>
  <si>
    <t>101동(중/27)</t>
  </si>
  <si>
    <t>초품아   커뮤니티이용편리  중 석식 사우나등  조용하고  따뜻한 집</t>
  </si>
  <si>
    <t>23.3%</t>
  </si>
  <si>
    <t>-39.0%</t>
  </si>
  <si>
    <t>96A1</t>
  </si>
  <si>
    <t>입주,개방감굿,로얄동층,시스템에어컨풀,중석식단지,전자계약가</t>
  </si>
  <si>
    <t>98B</t>
  </si>
  <si>
    <t>104동(중/29)</t>
  </si>
  <si>
    <t>늦은잔금.시원한전망.선호구조.에어컨풀.중식석식 서비스중.</t>
  </si>
  <si>
    <t>28.1%</t>
  </si>
  <si>
    <t>103동(중/29)</t>
  </si>
  <si>
    <t>84A. 에어컨4. 내부상태 굿. 전망최고. 입주협의</t>
  </si>
  <si>
    <t>7.5%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</si>
  <si>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</si>
  <si>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</si>
  <si>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</si>
  <si>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</si>
  <si>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</si>
  <si>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</si>
  <si>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</si>
  <si>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</si>
  <si>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</si>
  <si>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</si>
  <si>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</si>
  <si>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</si>
  <si>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</si>
  <si>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</si>
  <si>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</si>
  <si>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가성비최고 초역세권 평지 남향 로얄층 관리비저렴  주차편리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</si>
  <si>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</si>
  <si>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</si>
  <si>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</si>
  <si>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</si>
  <si>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</si>
  <si>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</si>
  <si>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</si>
  <si>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e편한세상금빛그랑메종2단지</t>
  </si>
  <si>
    <t>443</t>
  </si>
  <si>
    <t>69B2</t>
  </si>
  <si>
    <t>79B2</t>
  </si>
  <si>
    <t>204동(8/22)</t>
  </si>
  <si>
    <t>202동(중/17)</t>
  </si>
  <si>
    <t>초입동 시스템에어컨 중문 인덕션 전망굿 입주협의</t>
  </si>
  <si>
    <t>27.5%</t>
  </si>
  <si>
    <t>-50.0%</t>
  </si>
  <si>
    <t>79C2</t>
  </si>
  <si>
    <t>98A2</t>
  </si>
  <si>
    <t>201동(중/18)</t>
  </si>
  <si>
    <t>1.15일강추매물 초입동 진출입편리 트인뷰 에어컨 중문 전자계약</t>
  </si>
  <si>
    <t>19.3%</t>
  </si>
  <si>
    <t>159778</t>
  </si>
  <si>
    <t>e편한세상금빛그랑메종3단지</t>
  </si>
  <si>
    <t>784</t>
  </si>
  <si>
    <t>71B3</t>
  </si>
  <si>
    <t>81B3</t>
  </si>
  <si>
    <t>301동(고/25)</t>
  </si>
  <si>
    <t>3단지 59타입 ,채광 및 탁 트인뻥뷰 , 전자계약서작성</t>
  </si>
  <si>
    <t>22.6%</t>
  </si>
  <si>
    <t>80A3</t>
  </si>
  <si>
    <t>81C3</t>
  </si>
  <si>
    <t>303동(중/20)</t>
  </si>
  <si>
    <t>59 입주협의,채광 컨디션 좋은집 매매,풀에어컨,중문,인덕션등</t>
  </si>
  <si>
    <t>100A3</t>
  </si>
  <si>
    <t>301동(4/25)</t>
  </si>
  <si>
    <t>74타입  입주가능 조경뷰 단대오거리역15분 전자계약가능</t>
  </si>
  <si>
    <t>18.4%</t>
  </si>
  <si>
    <t>159780</t>
  </si>
  <si>
    <t>e편한세상금빛그랑메종4단지</t>
  </si>
  <si>
    <t>948</t>
  </si>
  <si>
    <t>77A4</t>
  </si>
  <si>
    <t>406동(9/27)</t>
  </si>
  <si>
    <t>1.15확인 전.속 전자계약가능 햇살가득트인뷰 초입동  에어컨4</t>
  </si>
  <si>
    <t>29.4%</t>
  </si>
  <si>
    <t>77B4</t>
  </si>
  <si>
    <t>95A4</t>
  </si>
  <si>
    <t>406동(15/27)</t>
  </si>
  <si>
    <t>역세권 인근단지 인프라 옵션 우수 수납공간 우수 진출입이 편리함</t>
  </si>
  <si>
    <t>25.0%</t>
  </si>
  <si>
    <t>96B4</t>
  </si>
  <si>
    <t>405동(중/27)</t>
  </si>
  <si>
    <t>초역세권 전망좋은 로얄층입니다</t>
  </si>
  <si>
    <t>41.3%</t>
  </si>
  <si>
    <t>107A4</t>
  </si>
  <si>
    <t>402동(7/25)</t>
  </si>
  <si>
    <t>햇살좋은 동남향, 평지, 학세권, 풀에어컨, 입주협의.</t>
  </si>
  <si>
    <t>32.7%</t>
  </si>
  <si>
    <t>108B4</t>
  </si>
  <si>
    <t>408동(중/26)</t>
  </si>
  <si>
    <t>막힘없는 뷰,에어컨4,안방및작은방붙박이장</t>
  </si>
  <si>
    <t>22.4%</t>
  </si>
  <si>
    <t>107C4</t>
  </si>
  <si>
    <t>402동(고/25)</t>
  </si>
  <si>
    <t>탁트인 전망, 펜트하우스, 에어컨6대, 전자계약 가능</t>
  </si>
  <si>
    <t>37.8%</t>
  </si>
  <si>
    <t>108D4</t>
  </si>
  <si>
    <t>159781</t>
  </si>
  <si>
    <t>e편한세상금빛그랑메종5단지</t>
  </si>
  <si>
    <t>1102</t>
  </si>
  <si>
    <t>77A5</t>
  </si>
  <si>
    <t>23</t>
  </si>
  <si>
    <t>504동(6/18)</t>
  </si>
  <si>
    <t>그랑메종 최저가 매물, 탁 트인뷰, 입주가능, 초품아, 에어컨 2대,</t>
  </si>
  <si>
    <t>19.2%</t>
  </si>
  <si>
    <t>77B5</t>
  </si>
  <si>
    <t>504동(고/18)</t>
  </si>
  <si>
    <t>1.15일확인 전.속 초품아 탁트인뷰 에어컨3 인덕션 중문 식세기</t>
  </si>
  <si>
    <t>21.7%</t>
  </si>
  <si>
    <t>95A5</t>
  </si>
  <si>
    <t>508동(중/29)</t>
  </si>
  <si>
    <t>74 전망좋음 에어컨4 중문 인덕션</t>
  </si>
  <si>
    <t>26.4%</t>
  </si>
  <si>
    <t>96B5</t>
  </si>
  <si>
    <t>508동(고/29)</t>
  </si>
  <si>
    <t>1.15확인 옵션좋은뻥뷰 선호하는입구동 에어컨4</t>
  </si>
  <si>
    <t>107A5</t>
  </si>
  <si>
    <t>505동(중/25)</t>
  </si>
  <si>
    <t>505동(16/25)</t>
  </si>
  <si>
    <t>84 매매,입주협의,탁트인 뷰,시스템에어컨,중문,인덕션등,금상초인접</t>
  </si>
  <si>
    <t>15.0%</t>
  </si>
  <si>
    <t>-25.0%</t>
  </si>
  <si>
    <t>107B5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</si>
  <si>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</si>
  <si>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</si>
  <si>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</si>
  <si>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</si>
  <si>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</si>
  <si>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</si>
  <si>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161457</t>
  </si>
  <si>
    <t>신흥역하늘채랜더스원2단지</t>
  </si>
  <si>
    <t>332</t>
  </si>
  <si>
    <t>71A-1</t>
  </si>
  <si>
    <t>202동(7/18)</t>
  </si>
  <si>
    <t>203동(18/20)</t>
  </si>
  <si>
    <t>귀한51타입,신흥역초역세권,도심속조용한숲뷰,시스템에어컨,입주협의</t>
  </si>
  <si>
    <t>41.0%</t>
  </si>
  <si>
    <t>-50.8%</t>
  </si>
  <si>
    <t>82A-2</t>
  </si>
  <si>
    <t>201동(6/27)</t>
  </si>
  <si>
    <t>203동(고/20)</t>
  </si>
  <si>
    <t>채광굿 신축3년 대원공원 초품아 신흥역8호선  미래가치 높은단지</t>
  </si>
  <si>
    <t>32.6%</t>
  </si>
  <si>
    <t>-53.6%</t>
  </si>
  <si>
    <t>161458</t>
  </si>
  <si>
    <t>신흥역하늘채랜더스원3단지</t>
  </si>
  <si>
    <t>400</t>
  </si>
  <si>
    <t>81B-2</t>
  </si>
  <si>
    <t>81A-3</t>
  </si>
  <si>
    <t>304동(25/25)</t>
  </si>
  <si>
    <t>107A-2</t>
  </si>
  <si>
    <t>303동(12/22)</t>
  </si>
  <si>
    <t>신흥역 5분이내 완전 평지 뻥트인 숲뷰  풀옵션</t>
  </si>
  <si>
    <t>17.9%</t>
  </si>
  <si>
    <t>165357</t>
  </si>
  <si>
    <t>판교밸리제일풍경채</t>
  </si>
  <si>
    <t>543</t>
  </si>
  <si>
    <t>110D</t>
  </si>
  <si>
    <t>57</t>
  </si>
  <si>
    <t>탁 트인 뷰, 시스템 에어컨 5대, 방3 드레스룸2, 타워형 거실</t>
  </si>
  <si>
    <t>-4.1%</t>
  </si>
  <si>
    <t>101동(6/15)</t>
  </si>
  <si>
    <t>주출입구쪽,가장 선호하는 A타입,거실확장형</t>
  </si>
  <si>
    <t>-1.8%</t>
  </si>
  <si>
    <t>110B</t>
  </si>
  <si>
    <t>106동(7/15)</t>
  </si>
  <si>
    <t>108동(고/15)</t>
  </si>
  <si>
    <t>방3 화2  넓은드레스룸 시스템에어컨</t>
  </si>
  <si>
    <t>-2.5%</t>
  </si>
  <si>
    <t>110C</t>
  </si>
  <si>
    <t>107동(7/15)</t>
  </si>
  <si>
    <t>정원뷰 조용하고 채광 좋은 구조좋은 타입</t>
  </si>
  <si>
    <t>-2.1%</t>
  </si>
  <si>
    <t>101동(14/15)</t>
  </si>
  <si>
    <t>최로열층, 대형드레스룸, 대형주방펜트리,넓은동간거리</t>
  </si>
  <si>
    <t>1726</t>
  </si>
  <si>
    <t>단대</t>
  </si>
  <si>
    <t>미도</t>
  </si>
  <si>
    <t>1982</t>
  </si>
  <si>
    <t>280</t>
  </si>
  <si>
    <t>77</t>
  </si>
  <si>
    <t>82</t>
  </si>
  <si>
    <t>복|2|1</t>
  </si>
  <si>
    <t>2동(8/14)</t>
  </si>
  <si>
    <t xml:space="preserve">올수리, 정비구역 지정을 위한 용역 2차 설명회 예정 </t>
  </si>
  <si>
    <t>1731</t>
  </si>
  <si>
    <t>상대원</t>
  </si>
  <si>
    <t>일성</t>
  </si>
  <si>
    <t>1993</t>
  </si>
  <si>
    <t>270</t>
  </si>
  <si>
    <t>58</t>
  </si>
  <si>
    <t>복|3|1</t>
  </si>
  <si>
    <t>1동(13/15)</t>
  </si>
  <si>
    <t>1동(고/15)</t>
  </si>
  <si>
    <t>전체올리모델링 했음 보일러교체  입주가능</t>
  </si>
  <si>
    <t>-18.8%</t>
  </si>
  <si>
    <t>60.0%</t>
  </si>
  <si>
    <t>86</t>
  </si>
  <si>
    <t>1동(11/15)</t>
  </si>
  <si>
    <t>로얄층 숲세권 올수리하여 상태굿 집주인거주 입주협의</t>
  </si>
  <si>
    <t>1733</t>
  </si>
  <si>
    <t>성남</t>
  </si>
  <si>
    <t>성남현대</t>
  </si>
  <si>
    <t>1992</t>
  </si>
  <si>
    <t>375</t>
  </si>
  <si>
    <t>42</t>
  </si>
  <si>
    <t>샤시포함내부올수리로 컨디션 최고.모란역 도보가능. 교통 생활편리 최고단지</t>
  </si>
  <si>
    <t>68</t>
  </si>
  <si>
    <t>102동(중/15)</t>
  </si>
  <si>
    <t>62</t>
  </si>
  <si>
    <t>101동(중/15)</t>
  </si>
  <si>
    <t>협의입주</t>
  </si>
  <si>
    <t>6.0%</t>
  </si>
  <si>
    <t>1735</t>
  </si>
  <si>
    <t>삼부</t>
  </si>
  <si>
    <t>1996</t>
  </si>
  <si>
    <t>834</t>
  </si>
  <si>
    <t>신혼부부 추천, 외부샷시외 인테리어 수리함. 방3,욕1</t>
  </si>
  <si>
    <t>-7.4%</t>
  </si>
  <si>
    <t>134</t>
  </si>
  <si>
    <t>158</t>
  </si>
  <si>
    <t>108동(중/15)</t>
  </si>
  <si>
    <t>남향  올수리 깔끔  집이밝고 조용해요  입주 가능</t>
  </si>
  <si>
    <t>1736</t>
  </si>
  <si>
    <t>두산</t>
  </si>
  <si>
    <t>570</t>
  </si>
  <si>
    <t>71</t>
  </si>
  <si>
    <t>95</t>
  </si>
  <si>
    <t>103동(15/15)</t>
  </si>
  <si>
    <t>협의입주. 수리된집으로 깔끔해요. 주인거주. 넓고 환하고 깨끗해요</t>
  </si>
  <si>
    <t>-8.6%</t>
  </si>
  <si>
    <t>1739</t>
  </si>
  <si>
    <t>한신</t>
  </si>
  <si>
    <t>1990</t>
  </si>
  <si>
    <t>585</t>
  </si>
  <si>
    <t>101A</t>
  </si>
  <si>
    <t>1동(중/15)</t>
  </si>
  <si>
    <t>상태좋은집 역세권 입주가능협의</t>
  </si>
  <si>
    <t>-12.5%</t>
  </si>
  <si>
    <t>103B</t>
  </si>
  <si>
    <t>2동(고/15)</t>
  </si>
  <si>
    <t>재건축정비예정구역 로얄층, 입주협의, 역5분,공원1분,세이브존백화점1분</t>
  </si>
  <si>
    <t>-19.3%</t>
  </si>
  <si>
    <t>1742</t>
  </si>
  <si>
    <t>은행</t>
  </si>
  <si>
    <t>은행현대</t>
  </si>
  <si>
    <t>1258</t>
  </si>
  <si>
    <t>114동(중/15)</t>
  </si>
  <si>
    <t>전철역가까운동.남향.즉시입주가능</t>
  </si>
  <si>
    <t>-5.3%</t>
  </si>
  <si>
    <t>12.0%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</si>
  <si>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</si>
  <si>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</si>
  <si>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</si>
  <si>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</si>
  <si>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</si>
  <si>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</si>
  <si>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</si>
  <si>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</si>
  <si>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</si>
  <si>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   쾌적하고  편리한 주거환경     남향</t>
  </si>
  <si>
    <t>-6.5%</t>
  </si>
  <si>
    <t>1749</t>
  </si>
  <si>
    <t>하대원현대</t>
  </si>
  <si>
    <t>314</t>
  </si>
  <si>
    <t>79</t>
  </si>
  <si>
    <t>103동(11/14)</t>
  </si>
  <si>
    <t>앞이 트인 멋진 숲 전망.  내부 상태굿 .</t>
  </si>
  <si>
    <t>-11.3%</t>
  </si>
  <si>
    <t>106</t>
  </si>
  <si>
    <t>102동(중/13)</t>
  </si>
  <si>
    <t>입주가능. 학세권 숲세권 아파트.</t>
  </si>
  <si>
    <t>-13.7%</t>
  </si>
  <si>
    <t>120</t>
  </si>
  <si>
    <t>101동(고/13)</t>
  </si>
  <si>
    <t>남향  내부수리 상태 좋아요</t>
  </si>
  <si>
    <t>17848</t>
  </si>
  <si>
    <t>래미안금광</t>
  </si>
  <si>
    <t>1098</t>
  </si>
  <si>
    <t>108동(9/23)</t>
  </si>
  <si>
    <t>108동(고/23)</t>
  </si>
  <si>
    <t>막힘없는전망 비확장 화장실비롯 부분수리 주인거주로 관리잘된 집</t>
  </si>
  <si>
    <t>-11.7%</t>
  </si>
  <si>
    <t>32.1%</t>
  </si>
  <si>
    <t>111동(8/23)</t>
  </si>
  <si>
    <t>급매,위례삼동선호재 가치 상승중,남향,숲세권프리미엄,강남출퇴근용이</t>
  </si>
  <si>
    <t>-17.6%</t>
  </si>
  <si>
    <t>102B</t>
  </si>
  <si>
    <t>102동(24/25)</t>
  </si>
  <si>
    <t>남향 초입동 방2확장 초중고인접 학세권 대단지 숲세권 빠른입주가능</t>
  </si>
  <si>
    <t>-11.8%</t>
  </si>
  <si>
    <t>99</t>
  </si>
  <si>
    <t>135N</t>
  </si>
  <si>
    <t>101동(18/24)</t>
  </si>
  <si>
    <t>1.13확인 뻥뷰 초입동 방4화장실2 깔끔해요 날짜협의</t>
  </si>
  <si>
    <t>135S</t>
  </si>
  <si>
    <t>105동(6/25)</t>
  </si>
  <si>
    <t>남향 확장 및 전체 리모델링 숲세권 학세권 위례신사연장선 호재</t>
  </si>
  <si>
    <t>126</t>
  </si>
  <si>
    <t>148N</t>
  </si>
  <si>
    <t>106동(중/26)</t>
  </si>
  <si>
    <t>107동(고/27)</t>
  </si>
  <si>
    <t>방 2개 거실확장 내부상태 깨끗해요 입주 7월중</t>
  </si>
  <si>
    <t>148S</t>
  </si>
  <si>
    <t>105동(23/25)</t>
  </si>
  <si>
    <t>거실.방2.확장 학군5분 천헤의 자연이 숲속의환경</t>
  </si>
  <si>
    <t>18527</t>
  </si>
  <si>
    <t>성남자이</t>
  </si>
  <si>
    <t>2007</t>
  </si>
  <si>
    <t>910</t>
  </si>
  <si>
    <t>80</t>
  </si>
  <si>
    <t>108동(중/17)</t>
  </si>
  <si>
    <t>전망굿, 상태굿, 정상. 협의</t>
  </si>
  <si>
    <t>-5.0%</t>
  </si>
  <si>
    <t>113</t>
  </si>
  <si>
    <t>144</t>
  </si>
  <si>
    <t>124</t>
  </si>
  <si>
    <t>154</t>
  </si>
  <si>
    <t>104동(12/17)</t>
  </si>
  <si>
    <t>입구동,상태깨끗,정상입주</t>
  </si>
  <si>
    <t>18542</t>
  </si>
  <si>
    <t>성남어울림</t>
  </si>
  <si>
    <t>507</t>
  </si>
  <si>
    <t>81</t>
  </si>
  <si>
    <t>107동(중/14)</t>
  </si>
  <si>
    <t>96</t>
  </si>
  <si>
    <t>108</t>
  </si>
  <si>
    <t>입주협의, 거실확장형, 상태좋음, 주인거주.</t>
  </si>
  <si>
    <t>-9.3%</t>
  </si>
  <si>
    <t>118</t>
  </si>
  <si>
    <t>142</t>
  </si>
  <si>
    <t>109동(중/15)</t>
  </si>
  <si>
    <t>입주협의, 거실확장, 상태보통.</t>
  </si>
  <si>
    <t>19433</t>
  </si>
  <si>
    <t>가천대역동부센트레빌1단지</t>
  </si>
  <si>
    <t>248</t>
  </si>
  <si>
    <t>103동(7/14)</t>
  </si>
  <si>
    <t>가천대역세권,구조좋으며 전망좋음,내부상태아주좋음</t>
  </si>
  <si>
    <t>102동(11/14)</t>
  </si>
  <si>
    <t>최고 로얄이며 수리 잘되어 있습니다</t>
  </si>
  <si>
    <t>106B</t>
  </si>
  <si>
    <t>107C</t>
  </si>
  <si>
    <t>104동(7/14)</t>
  </si>
  <si>
    <t>주변 개발로 미래 가치 있는 집</t>
  </si>
  <si>
    <t>106D</t>
  </si>
  <si>
    <t>103동(5/14)</t>
  </si>
  <si>
    <t>가천대역 가까운 투자성 있는 아파트 입니다.</t>
  </si>
  <si>
    <t>-9.6%</t>
  </si>
  <si>
    <t>올수리된 집입니다.</t>
  </si>
  <si>
    <t>26187</t>
  </si>
  <si>
    <t>동분당포레스트</t>
  </si>
  <si>
    <t>408</t>
  </si>
  <si>
    <t>301동(4/15)</t>
  </si>
  <si>
    <t>301동(고/15)</t>
  </si>
  <si>
    <t>주인거주,채광좋음,상태최상,초중교인접,조용한 거주환경</t>
  </si>
  <si>
    <t>-4.0%</t>
  </si>
  <si>
    <t>14.0%</t>
  </si>
  <si>
    <t>2657</t>
  </si>
  <si>
    <t>금광삼익</t>
  </si>
  <si>
    <t>1991</t>
  </si>
  <si>
    <t>498</t>
  </si>
  <si>
    <t>34</t>
  </si>
  <si>
    <t>47</t>
  </si>
  <si>
    <t>복|1|1</t>
  </si>
  <si>
    <t>105동(9/12)</t>
  </si>
  <si>
    <t>103동(6/10)</t>
  </si>
  <si>
    <t>전망좋은 깔끔한 아파트입니다.</t>
  </si>
  <si>
    <t>102동(6/12)</t>
  </si>
  <si>
    <t>세안고 매매,입주는 26년 9월중 가능</t>
  </si>
  <si>
    <t>2658</t>
  </si>
  <si>
    <t>선경논골</t>
  </si>
  <si>
    <t>426</t>
  </si>
  <si>
    <t>101동(4/13)</t>
  </si>
  <si>
    <t>Ace. 급매. 입주협의. 해가 잘들어요</t>
  </si>
  <si>
    <t>103동(13/13)</t>
  </si>
  <si>
    <t>2659</t>
  </si>
  <si>
    <t>진로</t>
  </si>
  <si>
    <t>1998</t>
  </si>
  <si>
    <t>499</t>
  </si>
  <si>
    <t>102동(10/15)</t>
  </si>
  <si>
    <t>103동(중/14)</t>
  </si>
  <si>
    <t>역세권. 내부상태 양호.주인거주로 입주협의</t>
  </si>
  <si>
    <t>-3.8%</t>
  </si>
  <si>
    <t>139</t>
  </si>
  <si>
    <t>105동(7/15)</t>
  </si>
  <si>
    <t>법원역도보7분 내부샷시교체  내부올수리  채광좋음 조용한동 지역난방</t>
  </si>
  <si>
    <t>2660</t>
  </si>
  <si>
    <t>산성</t>
  </si>
  <si>
    <t>1997</t>
  </si>
  <si>
    <t>360</t>
  </si>
  <si>
    <t>76</t>
  </si>
  <si>
    <t>104동(고/21)</t>
  </si>
  <si>
    <t>내부 시설상태는 기본임 잔금 이사일은 협의 가격 고정</t>
  </si>
  <si>
    <t>-29.5%</t>
  </si>
  <si>
    <t>88</t>
  </si>
  <si>
    <t>101동(중/21)</t>
  </si>
  <si>
    <t>내부 수리 교체한 집으로  상태 좋아요 입주일은 협의</t>
  </si>
  <si>
    <t>-27.7%</t>
  </si>
  <si>
    <t>26993</t>
  </si>
  <si>
    <t>두산위브</t>
  </si>
  <si>
    <t>432</t>
  </si>
  <si>
    <t>27075</t>
  </si>
  <si>
    <t>중앙힐스테이트1차</t>
  </si>
  <si>
    <t>356</t>
  </si>
  <si>
    <t>107A</t>
  </si>
  <si>
    <t>17</t>
  </si>
  <si>
    <t>101동(6/13)</t>
  </si>
  <si>
    <t>입주협의 판상형 주인거주 일부수리되어깨끗 대원공원전망 채광굿 초품아</t>
  </si>
  <si>
    <t>153A</t>
  </si>
  <si>
    <t>104동(고/15)</t>
  </si>
  <si>
    <t>로얄동로얄층 방4개 드레스룸  컨디션최상 입주협의</t>
  </si>
  <si>
    <t>105동(7/11)</t>
  </si>
  <si>
    <t>107동(9/10)</t>
  </si>
  <si>
    <t>입주협의 올확장형 주인거주 집관리잘되어깨끗 제일초앞 채광굿</t>
  </si>
  <si>
    <t>-15.0%</t>
  </si>
  <si>
    <t>106동(15/15)</t>
  </si>
  <si>
    <t>152B</t>
  </si>
  <si>
    <t>104동(중/15)</t>
  </si>
  <si>
    <t>방4개 드레스룸 넓은거실 전담 올리모델링 컨디션최상 입주협의</t>
  </si>
  <si>
    <t>27076</t>
  </si>
  <si>
    <t>중앙힐스테이트2차</t>
  </si>
  <si>
    <t>2014</t>
  </si>
  <si>
    <t>751</t>
  </si>
  <si>
    <t>30</t>
  </si>
  <si>
    <t>212동(6/14)</t>
  </si>
  <si>
    <t>신흥역세권 로얄동 채광굿 초중고인접동 입주협의</t>
  </si>
  <si>
    <t>10.2%</t>
  </si>
  <si>
    <t>205동(15/15)</t>
  </si>
  <si>
    <t>남동향 판상형올확장 확트인전망 입주</t>
  </si>
  <si>
    <t>-2.8%</t>
  </si>
  <si>
    <t>203동(5/15)</t>
  </si>
  <si>
    <t>입주협의 올확장형 주인거주 집관리잘되어깨끗  공원전망뷰 채광굿 초품아</t>
  </si>
  <si>
    <t>211동(고/15)</t>
  </si>
  <si>
    <t>전체확장형,청계산뷰,깨끗하고밝은세대,입주가능</t>
  </si>
  <si>
    <t>-3.7%</t>
  </si>
  <si>
    <t>210동(14/15)</t>
  </si>
  <si>
    <t>인기있는 구조 확장형 관리가 잘되어 있어 깨끗해요 입주협의</t>
  </si>
  <si>
    <t>2.8%</t>
  </si>
  <si>
    <t>153B</t>
  </si>
  <si>
    <t>207동(14/15)</t>
  </si>
  <si>
    <t>206동(6/15)</t>
  </si>
  <si>
    <t>추천입주협의 판상형올확장형 남동향 집관리잘되어깨끗 채광굿 매가조정가능</t>
  </si>
  <si>
    <t>27291</t>
  </si>
  <si>
    <t>푸르지오</t>
  </si>
  <si>
    <t>1015</t>
  </si>
  <si>
    <t>110B1</t>
  </si>
  <si>
    <t>85A</t>
  </si>
  <si>
    <t>149B</t>
  </si>
  <si>
    <t>113동(10/15)</t>
  </si>
  <si>
    <t>84A I 로얄동 I 트인뻥뷰 I 초역세권 I 입주협의</t>
  </si>
  <si>
    <t>0.4%</t>
  </si>
  <si>
    <t>149A</t>
  </si>
  <si>
    <t>109동(고/25)</t>
  </si>
  <si>
    <t>입구동.전망최고.단독세대.상태최상.붙박이장.입주협의</t>
  </si>
  <si>
    <t>164A</t>
  </si>
  <si>
    <t>112동(5/21)</t>
  </si>
  <si>
    <t>역세권. 채광좋음. 주인거주로 관리된집.가격조정.입주협의</t>
  </si>
  <si>
    <t>85B</t>
  </si>
  <si>
    <t>85C</t>
  </si>
  <si>
    <t>108동(중/24)</t>
  </si>
  <si>
    <t>초입동.남향.구조좋은 확장형.입주협의</t>
  </si>
  <si>
    <t>8.9%</t>
  </si>
  <si>
    <t>85C1</t>
  </si>
  <si>
    <t>85D</t>
  </si>
  <si>
    <t>105동(17/18)</t>
  </si>
  <si>
    <t>104동(4/21)</t>
  </si>
  <si>
    <t>역세권. 전망좋은 남향.확장형.입주협의</t>
  </si>
  <si>
    <t>-0.9%</t>
  </si>
  <si>
    <t>8357</t>
  </si>
  <si>
    <t>아튼빌</t>
  </si>
  <si>
    <t>1541</t>
  </si>
  <si>
    <t>118E</t>
  </si>
  <si>
    <t>39</t>
  </si>
  <si>
    <t>1010동(15/21)</t>
  </si>
  <si>
    <t>1010동(중/21)</t>
  </si>
  <si>
    <t>사계절멋진 뷰   집 상태깔끔    조용한 로얄동</t>
  </si>
  <si>
    <t>91A</t>
  </si>
  <si>
    <t>162</t>
  </si>
  <si>
    <t>1017동(중/22)</t>
  </si>
  <si>
    <t>전망좋은  편리한 동 . 선호하는 로얄층 .</t>
  </si>
  <si>
    <t>89C</t>
  </si>
  <si>
    <t>88A</t>
  </si>
  <si>
    <t>88B</t>
  </si>
  <si>
    <t>86B</t>
  </si>
  <si>
    <t>1001동(10/23)</t>
  </si>
  <si>
    <t>편리한 정문 입구동 .  주거환경 편리 .  채광좋은 로얄층.</t>
  </si>
  <si>
    <t>-5.9%</t>
  </si>
  <si>
    <t>119A</t>
  </si>
  <si>
    <t>1005동(중/22)</t>
  </si>
  <si>
    <t>수리된  전망좋은 로얄동 로얄층 .</t>
  </si>
  <si>
    <t>118A1</t>
  </si>
  <si>
    <t>1012동(고/22)</t>
  </si>
  <si>
    <t>정남향 . 특 리모델링 .  정문 후문 접근편리한 위치 .입주가능</t>
  </si>
  <si>
    <t>3.5%</t>
  </si>
  <si>
    <t>117D</t>
  </si>
  <si>
    <t>8413</t>
  </si>
  <si>
    <t>선경상대원2차</t>
  </si>
  <si>
    <t>2510</t>
  </si>
  <si>
    <t>49</t>
  </si>
  <si>
    <t>64</t>
  </si>
  <si>
    <t>109동(고/15)</t>
  </si>
  <si>
    <t>매매,보건소,초등학교인접,주거환경좋음,로얄층</t>
  </si>
  <si>
    <t>8414</t>
  </si>
  <si>
    <t>황송마을</t>
  </si>
  <si>
    <t>990</t>
  </si>
  <si>
    <t>69</t>
  </si>
  <si>
    <t>108동(15/15)</t>
  </si>
  <si>
    <t>특올수리,전망권,입주협의</t>
  </si>
  <si>
    <t>8416</t>
  </si>
  <si>
    <t>상대원삼익</t>
  </si>
  <si>
    <t>264</t>
  </si>
  <si>
    <t>46</t>
  </si>
  <si>
    <t>101동(4/12)</t>
  </si>
  <si>
    <t>전망남향집 내부관리상태깔끔합니다.입주협의</t>
  </si>
  <si>
    <t>9938</t>
  </si>
  <si>
    <t>태평선경</t>
  </si>
  <si>
    <t>312</t>
  </si>
  <si>
    <t>45</t>
  </si>
  <si>
    <t>108동(5/5)</t>
  </si>
  <si>
    <t>내부깨끗.즉시입주가능.층간소음없음.지주택추진중</t>
  </si>
  <si>
    <t>102동(고/5)</t>
  </si>
  <si>
    <t>인근편의시설 지하철도보이용가능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</si>
</sst>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0.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0.1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49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8.5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0.5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58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34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73</v>
      </c>
      <c r="B14" t="s" s="0">
        <v>24</v>
      </c>
      <c r="C14" t="s" s="0">
        <v>25</v>
      </c>
      <c r="D14" t="s" s="0">
        <v>74</v>
      </c>
      <c r="E14" t="s" s="0">
        <v>27</v>
      </c>
      <c r="F14" t="s" s="0">
        <v>75</v>
      </c>
      <c r="G14" t="s" s="0">
        <v>76</v>
      </c>
      <c r="H14" t="s" s="0">
        <v>77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49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73</v>
      </c>
      <c r="B15" t="s" s="0">
        <v>24</v>
      </c>
      <c r="C15" t="s" s="0">
        <v>25</v>
      </c>
      <c r="D15" t="s" s="0">
        <v>74</v>
      </c>
      <c r="E15" t="s" s="0">
        <v>27</v>
      </c>
      <c r="F15" t="s" s="0">
        <v>75</v>
      </c>
      <c r="G15" t="s" s="0">
        <v>76</v>
      </c>
      <c r="H15" t="s" s="0">
        <v>78</v>
      </c>
      <c r="I15" t="s" s="0">
        <v>31</v>
      </c>
      <c r="J15" t="n" s="2">
        <v>10.3</v>
      </c>
      <c r="K15" t="s">
        <v>33</v>
      </c>
      <c r="L15" t="s">
        <v>33</v>
      </c>
      <c r="M15" s="3">
        <f>IFERROR(K15/J15,0)</f>
      </c>
      <c r="N15" t="s">
        <v>49</v>
      </c>
      <c r="O15" t="s">
        <v>35</v>
      </c>
      <c r="P15" t="s">
        <v>79</v>
      </c>
      <c r="Q15" t="s">
        <v>33</v>
      </c>
      <c r="R15" t="s">
        <v>80</v>
      </c>
      <c r="S15" t="s">
        <v>49</v>
      </c>
      <c r="T15" t="n" s="2">
        <v>8.94</v>
      </c>
      <c r="U15" t="s">
        <v>81</v>
      </c>
      <c r="V15" t="s">
        <v>39</v>
      </c>
      <c r="W15" t="n" s="2">
        <v>-1.36</v>
      </c>
    </row>
    <row r="16">
      <c r="A16" t="s" s="0">
        <v>73</v>
      </c>
      <c r="B16" t="s" s="0">
        <v>24</v>
      </c>
      <c r="C16" t="s" s="0">
        <v>25</v>
      </c>
      <c r="D16" t="s" s="0">
        <v>74</v>
      </c>
      <c r="E16" t="s" s="0">
        <v>27</v>
      </c>
      <c r="F16" t="s" s="0">
        <v>75</v>
      </c>
      <c r="G16" t="s" s="0">
        <v>29</v>
      </c>
      <c r="H16" t="s" s="0">
        <v>82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49</v>
      </c>
      <c r="O16" t="s">
        <v>35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73</v>
      </c>
      <c r="B17" t="s" s="0">
        <v>24</v>
      </c>
      <c r="C17" t="s" s="0">
        <v>25</v>
      </c>
      <c r="D17" t="s" s="0">
        <v>74</v>
      </c>
      <c r="E17" t="s" s="0">
        <v>27</v>
      </c>
      <c r="F17" t="s" s="0">
        <v>75</v>
      </c>
      <c r="G17" t="s" s="0">
        <v>29</v>
      </c>
      <c r="H17" t="s" s="0">
        <v>83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49</v>
      </c>
      <c r="O17" t="s">
        <v>35</v>
      </c>
      <c r="P17" t="s">
        <v>33</v>
      </c>
      <c r="Q17" t="s">
        <v>33</v>
      </c>
      <c r="R17" t="s">
        <v>33</v>
      </c>
      <c r="S17" t="s">
        <v>53</v>
      </c>
      <c r="T17" t="n" s="2">
        <v>9.8</v>
      </c>
      <c r="U17" t="s">
        <v>39</v>
      </c>
      <c r="V17" t="s">
        <v>39</v>
      </c>
      <c r="W17" t="s">
        <v>39</v>
      </c>
    </row>
    <row r="18">
      <c r="A18" t="s" s="0">
        <v>73</v>
      </c>
      <c r="B18" t="s" s="0">
        <v>24</v>
      </c>
      <c r="C18" t="s" s="0">
        <v>25</v>
      </c>
      <c r="D18" t="s" s="0">
        <v>74</v>
      </c>
      <c r="E18" t="s" s="0">
        <v>27</v>
      </c>
      <c r="F18" t="s" s="0">
        <v>75</v>
      </c>
      <c r="G18" t="s" s="0">
        <v>29</v>
      </c>
      <c r="H18" t="s" s="0">
        <v>84</v>
      </c>
      <c r="I18" t="s" s="0">
        <v>31</v>
      </c>
      <c r="J18" t="n" s="2">
        <v>10.5</v>
      </c>
      <c r="K18" t="s">
        <v>33</v>
      </c>
      <c r="L18" t="s">
        <v>33</v>
      </c>
      <c r="M18" s="3">
        <f>IFERROR(K18/J18,0)</f>
      </c>
      <c r="N18" t="s">
        <v>49</v>
      </c>
      <c r="O18" t="s">
        <v>35</v>
      </c>
      <c r="P18" t="s">
        <v>85</v>
      </c>
      <c r="Q18" t="s">
        <v>33</v>
      </c>
      <c r="R18" t="s">
        <v>86</v>
      </c>
      <c r="S18" t="s">
        <v>55</v>
      </c>
      <c r="T18" t="n" s="2">
        <v>9.8</v>
      </c>
      <c r="U18" t="s">
        <v>87</v>
      </c>
      <c r="V18" t="s">
        <v>39</v>
      </c>
      <c r="W18" t="n" s="2">
        <v>-0.7</v>
      </c>
    </row>
    <row r="19">
      <c r="A19" t="s" s="0">
        <v>73</v>
      </c>
      <c r="B19" t="s" s="0">
        <v>24</v>
      </c>
      <c r="C19" t="s" s="0">
        <v>25</v>
      </c>
      <c r="D19" t="s" s="0">
        <v>74</v>
      </c>
      <c r="E19" t="s" s="0">
        <v>27</v>
      </c>
      <c r="F19" t="s" s="0">
        <v>75</v>
      </c>
      <c r="G19" t="s" s="0">
        <v>29</v>
      </c>
      <c r="H19" t="s" s="0">
        <v>88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49</v>
      </c>
      <c r="O19" t="s">
        <v>35</v>
      </c>
      <c r="P19" t="s">
        <v>33</v>
      </c>
      <c r="Q19" t="s">
        <v>33</v>
      </c>
      <c r="R19" t="s">
        <v>33</v>
      </c>
      <c r="S19" t="s">
        <v>60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73</v>
      </c>
      <c r="B20" t="s" s="0">
        <v>24</v>
      </c>
      <c r="C20" t="s" s="0">
        <v>25</v>
      </c>
      <c r="D20" t="s" s="0">
        <v>74</v>
      </c>
      <c r="E20" t="s" s="0">
        <v>27</v>
      </c>
      <c r="F20" t="s" s="0">
        <v>75</v>
      </c>
      <c r="G20" t="s" s="0">
        <v>29</v>
      </c>
      <c r="H20" t="s" s="0">
        <v>89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49</v>
      </c>
      <c r="O20" t="s">
        <v>35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73</v>
      </c>
      <c r="B21" t="s" s="0">
        <v>24</v>
      </c>
      <c r="C21" t="s" s="0">
        <v>25</v>
      </c>
      <c r="D21" t="s" s="0">
        <v>74</v>
      </c>
      <c r="E21" t="s" s="0">
        <v>27</v>
      </c>
      <c r="F21" t="s" s="0">
        <v>75</v>
      </c>
      <c r="G21" t="s" s="0">
        <v>29</v>
      </c>
      <c r="H21" t="s" s="0">
        <v>90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49</v>
      </c>
      <c r="O21" t="s">
        <v>35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29</v>
      </c>
      <c r="H22" t="s" s="0">
        <v>96</v>
      </c>
      <c r="I22" t="s" s="0">
        <v>31</v>
      </c>
      <c r="J22" t="n" s="2">
        <v>12.0</v>
      </c>
      <c r="K22" t="s">
        <v>33</v>
      </c>
      <c r="L22" t="s">
        <v>33</v>
      </c>
      <c r="M22" s="3">
        <f>IFERROR(K22/J22,0)</f>
      </c>
      <c r="N22" t="s">
        <v>49</v>
      </c>
      <c r="O22" t="s">
        <v>42</v>
      </c>
      <c r="P22" t="s">
        <v>97</v>
      </c>
      <c r="Q22" t="s">
        <v>33</v>
      </c>
      <c r="R22" t="s">
        <v>98</v>
      </c>
      <c r="S22" t="s">
        <v>32</v>
      </c>
      <c r="T22" t="n" s="2">
        <v>12.0</v>
      </c>
      <c r="U22" t="s">
        <v>58</v>
      </c>
      <c r="V22" t="s">
        <v>39</v>
      </c>
      <c r="W22" t="n" s="2">
        <v>0.0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99</v>
      </c>
      <c r="H23" t="s" s="0">
        <v>100</v>
      </c>
      <c r="I23" t="s" s="0">
        <v>31</v>
      </c>
      <c r="J23" t="n" s="2">
        <v>10.6</v>
      </c>
      <c r="K23" t="s">
        <v>33</v>
      </c>
      <c r="L23" t="s">
        <v>33</v>
      </c>
      <c r="M23" s="3">
        <f>IFERROR(K23/J23,0)</f>
      </c>
      <c r="N23" t="s">
        <v>49</v>
      </c>
      <c r="O23" t="s">
        <v>42</v>
      </c>
      <c r="P23" t="s">
        <v>101</v>
      </c>
      <c r="Q23" t="s">
        <v>33</v>
      </c>
      <c r="R23" t="s">
        <v>102</v>
      </c>
      <c r="S23" t="s">
        <v>42</v>
      </c>
      <c r="T23" t="n" s="2">
        <v>9.65</v>
      </c>
      <c r="U23" t="s">
        <v>103</v>
      </c>
      <c r="V23" t="s">
        <v>39</v>
      </c>
      <c r="W23" t="n" s="2">
        <v>-0.95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104</v>
      </c>
      <c r="H24" t="s" s="0">
        <v>105</v>
      </c>
      <c r="I24" t="s" s="0">
        <v>106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49</v>
      </c>
      <c r="O24" t="s">
        <v>42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29</v>
      </c>
      <c r="H25" t="s" s="0">
        <v>107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49</v>
      </c>
      <c r="O25" t="s">
        <v>42</v>
      </c>
      <c r="P25" t="s">
        <v>33</v>
      </c>
      <c r="Q25" t="s">
        <v>33</v>
      </c>
      <c r="R25" t="s">
        <v>33</v>
      </c>
      <c r="S25" t="s">
        <v>49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104</v>
      </c>
      <c r="H26" t="s" s="0">
        <v>108</v>
      </c>
      <c r="I26" t="s" s="0">
        <v>106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49</v>
      </c>
      <c r="O26" t="s">
        <v>42</v>
      </c>
      <c r="P26" t="s">
        <v>33</v>
      </c>
      <c r="Q26" t="s">
        <v>33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99</v>
      </c>
      <c r="H27" t="s" s="0">
        <v>109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49</v>
      </c>
      <c r="O27" t="s">
        <v>42</v>
      </c>
      <c r="P27" t="s">
        <v>33</v>
      </c>
      <c r="Q27" t="s">
        <v>33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99</v>
      </c>
      <c r="H28" t="s" s="0">
        <v>110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49</v>
      </c>
      <c r="O28" t="s">
        <v>42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91</v>
      </c>
      <c r="B29" t="s" s="0">
        <v>24</v>
      </c>
      <c r="C29" t="s" s="0">
        <v>92</v>
      </c>
      <c r="D29" t="s" s="0">
        <v>93</v>
      </c>
      <c r="E29" t="s" s="0">
        <v>94</v>
      </c>
      <c r="F29" t="s" s="0">
        <v>95</v>
      </c>
      <c r="G29" t="s" s="0">
        <v>99</v>
      </c>
      <c r="H29" t="s" s="0">
        <v>111</v>
      </c>
      <c r="I29" t="s" s="0">
        <v>31</v>
      </c>
      <c r="J29" t="s" s="0">
        <v>33</v>
      </c>
      <c r="K29" t="n" s="2">
        <v>5.5</v>
      </c>
      <c r="L29" t="s">
        <v>33</v>
      </c>
      <c r="M29" s="3">
        <f>IFERROR(K29/J29,0)</f>
      </c>
      <c r="N29" t="s">
        <v>49</v>
      </c>
      <c r="O29" t="s">
        <v>42</v>
      </c>
      <c r="P29" t="s">
        <v>33</v>
      </c>
      <c r="Q29" t="s">
        <v>112</v>
      </c>
      <c r="R29" t="s">
        <v>33</v>
      </c>
      <c r="S29" t="s">
        <v>60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91</v>
      </c>
      <c r="B30" t="s" s="0">
        <v>24</v>
      </c>
      <c r="C30" t="s" s="0">
        <v>92</v>
      </c>
      <c r="D30" t="s" s="0">
        <v>93</v>
      </c>
      <c r="E30" t="s" s="0">
        <v>94</v>
      </c>
      <c r="F30" t="s" s="0">
        <v>95</v>
      </c>
      <c r="G30" t="s" s="0">
        <v>29</v>
      </c>
      <c r="H30" t="s" s="0">
        <v>113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49</v>
      </c>
      <c r="O30" t="s">
        <v>42</v>
      </c>
      <c r="P30" t="s">
        <v>33</v>
      </c>
      <c r="Q30" t="s">
        <v>33</v>
      </c>
      <c r="R30" t="s">
        <v>33</v>
      </c>
      <c r="S30" t="s">
        <v>62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91</v>
      </c>
      <c r="B31" t="s" s="0">
        <v>24</v>
      </c>
      <c r="C31" t="s" s="0">
        <v>92</v>
      </c>
      <c r="D31" t="s" s="0">
        <v>93</v>
      </c>
      <c r="E31" t="s" s="0">
        <v>94</v>
      </c>
      <c r="F31" t="s" s="0">
        <v>95</v>
      </c>
      <c r="G31" t="s" s="0">
        <v>29</v>
      </c>
      <c r="H31" t="s" s="0">
        <v>114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49</v>
      </c>
      <c r="O31" t="s">
        <v>42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91</v>
      </c>
      <c r="B32" t="s" s="0">
        <v>24</v>
      </c>
      <c r="C32" t="s" s="0">
        <v>92</v>
      </c>
      <c r="D32" t="s" s="0">
        <v>93</v>
      </c>
      <c r="E32" t="s" s="0">
        <v>94</v>
      </c>
      <c r="F32" t="s" s="0">
        <v>95</v>
      </c>
      <c r="G32" t="s" s="0">
        <v>29</v>
      </c>
      <c r="H32" t="s" s="0">
        <v>115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49</v>
      </c>
      <c r="O32" t="s">
        <v>42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91</v>
      </c>
      <c r="B33" t="s" s="0">
        <v>24</v>
      </c>
      <c r="C33" t="s" s="0">
        <v>92</v>
      </c>
      <c r="D33" t="s" s="0">
        <v>93</v>
      </c>
      <c r="E33" t="s" s="0">
        <v>94</v>
      </c>
      <c r="F33" t="s" s="0">
        <v>95</v>
      </c>
      <c r="G33" t="s" s="0">
        <v>29</v>
      </c>
      <c r="H33" t="s" s="0">
        <v>116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49</v>
      </c>
      <c r="O33" t="s">
        <v>42</v>
      </c>
      <c r="P33" t="s">
        <v>33</v>
      </c>
      <c r="Q33" t="s">
        <v>33</v>
      </c>
      <c r="R33" t="s">
        <v>33</v>
      </c>
      <c r="S33" t="s">
        <v>34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117</v>
      </c>
      <c r="B34" t="s" s="0">
        <v>24</v>
      </c>
      <c r="C34" t="s" s="0">
        <v>118</v>
      </c>
      <c r="D34" t="s" s="0">
        <v>119</v>
      </c>
      <c r="E34" t="s" s="0">
        <v>120</v>
      </c>
      <c r="F34" t="s" s="0">
        <v>121</v>
      </c>
      <c r="G34" t="s" s="0">
        <v>122</v>
      </c>
      <c r="H34" t="s" s="0">
        <v>123</v>
      </c>
      <c r="I34" t="s" s="0">
        <v>124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55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117</v>
      </c>
      <c r="B35" t="s" s="0">
        <v>24</v>
      </c>
      <c r="C35" t="s" s="0">
        <v>118</v>
      </c>
      <c r="D35" t="s" s="0">
        <v>119</v>
      </c>
      <c r="E35" t="s" s="0">
        <v>120</v>
      </c>
      <c r="F35" t="s" s="0">
        <v>121</v>
      </c>
      <c r="G35" t="s" s="0">
        <v>122</v>
      </c>
      <c r="H35" t="s" s="0">
        <v>126</v>
      </c>
      <c r="I35" t="s" s="0">
        <v>124</v>
      </c>
      <c r="J35" t="s" s="0">
        <v>33</v>
      </c>
      <c r="K35" t="n" s="2">
        <v>4.9</v>
      </c>
      <c r="L35" t="s">
        <v>33</v>
      </c>
      <c r="M35" s="3">
        <f>IFERROR(K35/J35,0)</f>
      </c>
      <c r="N35" t="s">
        <v>125</v>
      </c>
      <c r="O35" t="s">
        <v>55</v>
      </c>
      <c r="P35" t="s">
        <v>33</v>
      </c>
      <c r="Q35" t="s">
        <v>127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117</v>
      </c>
      <c r="B36" t="s" s="0">
        <v>24</v>
      </c>
      <c r="C36" t="s" s="0">
        <v>118</v>
      </c>
      <c r="D36" t="s" s="0">
        <v>119</v>
      </c>
      <c r="E36" t="s" s="0">
        <v>120</v>
      </c>
      <c r="F36" t="s" s="0">
        <v>121</v>
      </c>
      <c r="G36" t="s" s="0">
        <v>122</v>
      </c>
      <c r="H36" t="s" s="0">
        <v>128</v>
      </c>
      <c r="I36" t="s" s="0">
        <v>124</v>
      </c>
      <c r="J36" t="n" s="2">
        <v>8.3</v>
      </c>
      <c r="K36" t="n" s="2">
        <v>3.3</v>
      </c>
      <c r="L36" t="n" s="2">
        <v>5.0</v>
      </c>
      <c r="M36" s="3">
        <f>IFERROR(K36/J36,0)</f>
      </c>
      <c r="N36" t="s">
        <v>125</v>
      </c>
      <c r="O36" t="s">
        <v>55</v>
      </c>
      <c r="P36" t="s">
        <v>130</v>
      </c>
      <c r="Q36" t="s">
        <v>130</v>
      </c>
      <c r="R36" t="s">
        <v>131</v>
      </c>
      <c r="S36" t="s">
        <v>129</v>
      </c>
      <c r="U36" t="s">
        <v>39</v>
      </c>
      <c r="V36" t="s">
        <v>39</v>
      </c>
      <c r="W36" t="s">
        <v>39</v>
      </c>
    </row>
    <row r="37">
      <c r="A37" t="s" s="0">
        <v>117</v>
      </c>
      <c r="B37" t="s" s="0">
        <v>24</v>
      </c>
      <c r="C37" t="s" s="0">
        <v>118</v>
      </c>
      <c r="D37" t="s" s="0">
        <v>119</v>
      </c>
      <c r="E37" t="s" s="0">
        <v>120</v>
      </c>
      <c r="F37" t="s" s="0">
        <v>121</v>
      </c>
      <c r="G37" t="s" s="0">
        <v>122</v>
      </c>
      <c r="H37" t="s" s="0">
        <v>132</v>
      </c>
      <c r="I37" t="s" s="0">
        <v>124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55</v>
      </c>
      <c r="P37" t="s">
        <v>134</v>
      </c>
      <c r="Q37" t="s">
        <v>33</v>
      </c>
      <c r="R37" t="s">
        <v>135</v>
      </c>
      <c r="S37" t="s">
        <v>133</v>
      </c>
      <c r="U37" t="s">
        <v>39</v>
      </c>
      <c r="V37" t="s">
        <v>39</v>
      </c>
      <c r="W37" t="s">
        <v>39</v>
      </c>
    </row>
    <row r="38">
      <c r="A38" t="s" s="0">
        <v>117</v>
      </c>
      <c r="B38" t="s" s="0">
        <v>24</v>
      </c>
      <c r="C38" t="s" s="0">
        <v>118</v>
      </c>
      <c r="D38" t="s" s="0">
        <v>119</v>
      </c>
      <c r="E38" t="s" s="0">
        <v>120</v>
      </c>
      <c r="F38" t="s" s="0">
        <v>121</v>
      </c>
      <c r="G38" t="s" s="0">
        <v>99</v>
      </c>
      <c r="H38" t="s" s="0">
        <v>136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55</v>
      </c>
      <c r="P38" t="s">
        <v>33</v>
      </c>
      <c r="Q38" t="s">
        <v>33</v>
      </c>
      <c r="R38" t="s">
        <v>33</v>
      </c>
      <c r="S38" t="s">
        <v>137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117</v>
      </c>
      <c r="B39" t="s" s="0">
        <v>24</v>
      </c>
      <c r="C39" t="s" s="0">
        <v>118</v>
      </c>
      <c r="D39" t="s" s="0">
        <v>119</v>
      </c>
      <c r="E39" t="s" s="0">
        <v>120</v>
      </c>
      <c r="F39" t="s" s="0">
        <v>121</v>
      </c>
      <c r="G39" t="s" s="0">
        <v>99</v>
      </c>
      <c r="H39" t="s" s="0">
        <v>138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55</v>
      </c>
      <c r="P39" t="s">
        <v>33</v>
      </c>
      <c r="Q39" t="s">
        <v>33</v>
      </c>
      <c r="R39" t="s">
        <v>33</v>
      </c>
      <c r="S39" t="s">
        <v>139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117</v>
      </c>
      <c r="B40" t="s" s="0">
        <v>24</v>
      </c>
      <c r="C40" t="s" s="0">
        <v>118</v>
      </c>
      <c r="D40" t="s" s="0">
        <v>119</v>
      </c>
      <c r="E40" t="s" s="0">
        <v>120</v>
      </c>
      <c r="F40" t="s" s="0">
        <v>121</v>
      </c>
      <c r="G40" t="s" s="0">
        <v>122</v>
      </c>
      <c r="H40" t="s" s="0">
        <v>140</v>
      </c>
      <c r="I40" t="s" s="0">
        <v>124</v>
      </c>
      <c r="J40" t="n" s="2">
        <v>8.4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55</v>
      </c>
      <c r="P40" t="s">
        <v>141</v>
      </c>
      <c r="Q40" t="s">
        <v>33</v>
      </c>
      <c r="R40" t="s">
        <v>142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117</v>
      </c>
      <c r="B41" t="s" s="0">
        <v>24</v>
      </c>
      <c r="C41" t="s" s="0">
        <v>118</v>
      </c>
      <c r="D41" t="s" s="0">
        <v>119</v>
      </c>
      <c r="E41" t="s" s="0">
        <v>120</v>
      </c>
      <c r="F41" t="s" s="0">
        <v>121</v>
      </c>
      <c r="G41" t="s" s="0">
        <v>122</v>
      </c>
      <c r="H41" t="s" s="0">
        <v>143</v>
      </c>
      <c r="I41" t="s" s="0">
        <v>124</v>
      </c>
      <c r="J41" t="n" s="2">
        <v>8.8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55</v>
      </c>
      <c r="P41" t="s">
        <v>144</v>
      </c>
      <c r="Q41" t="s">
        <v>33</v>
      </c>
      <c r="R41" t="s">
        <v>145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117</v>
      </c>
      <c r="B42" t="s" s="0">
        <v>24</v>
      </c>
      <c r="C42" t="s" s="0">
        <v>118</v>
      </c>
      <c r="D42" t="s" s="0">
        <v>119</v>
      </c>
      <c r="E42" t="s" s="0">
        <v>120</v>
      </c>
      <c r="F42" t="s" s="0">
        <v>121</v>
      </c>
      <c r="G42" t="s" s="0">
        <v>122</v>
      </c>
      <c r="H42" t="s" s="0">
        <v>146</v>
      </c>
      <c r="I42" t="s" s="0">
        <v>124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125</v>
      </c>
      <c r="O42" t="s">
        <v>55</v>
      </c>
      <c r="P42" t="s">
        <v>33</v>
      </c>
      <c r="Q42" t="s">
        <v>33</v>
      </c>
      <c r="R42" t="s">
        <v>33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117</v>
      </c>
      <c r="B43" t="s" s="0">
        <v>24</v>
      </c>
      <c r="C43" t="s" s="0">
        <v>118</v>
      </c>
      <c r="D43" t="s" s="0">
        <v>119</v>
      </c>
      <c r="E43" t="s" s="0">
        <v>120</v>
      </c>
      <c r="F43" t="s" s="0">
        <v>121</v>
      </c>
      <c r="G43" t="s" s="0">
        <v>99</v>
      </c>
      <c r="H43" t="s" s="0">
        <v>147</v>
      </c>
      <c r="I43" t="s" s="0">
        <v>31</v>
      </c>
      <c r="J43" t="n" s="2">
        <v>11.0</v>
      </c>
      <c r="K43" t="s">
        <v>33</v>
      </c>
      <c r="L43" t="s">
        <v>33</v>
      </c>
      <c r="M43" s="3">
        <f>IFERROR(K43/J43,0)</f>
      </c>
      <c r="N43" t="s">
        <v>125</v>
      </c>
      <c r="O43" t="s">
        <v>55</v>
      </c>
      <c r="P43" t="s">
        <v>148</v>
      </c>
      <c r="Q43" t="s">
        <v>33</v>
      </c>
      <c r="R43" t="s">
        <v>149</v>
      </c>
      <c r="S43" t="s">
        <v>53</v>
      </c>
      <c r="T43" t="n" s="2">
        <v>9.88</v>
      </c>
      <c r="U43" t="s">
        <v>150</v>
      </c>
      <c r="V43" t="s">
        <v>39</v>
      </c>
      <c r="W43" t="n" s="2">
        <v>-1.12</v>
      </c>
    </row>
    <row r="44">
      <c r="A44" t="s" s="0">
        <v>117</v>
      </c>
      <c r="B44" t="s" s="0">
        <v>24</v>
      </c>
      <c r="C44" t="s" s="0">
        <v>118</v>
      </c>
      <c r="D44" t="s" s="0">
        <v>119</v>
      </c>
      <c r="E44" t="s" s="0">
        <v>120</v>
      </c>
      <c r="F44" t="s" s="0">
        <v>121</v>
      </c>
      <c r="G44" t="s" s="0">
        <v>99</v>
      </c>
      <c r="H44" t="s" s="0">
        <v>151</v>
      </c>
      <c r="I44" t="s" s="0">
        <v>31</v>
      </c>
      <c r="J44" t="n" s="2">
        <v>10.5</v>
      </c>
      <c r="K44" t="s">
        <v>33</v>
      </c>
      <c r="L44" t="s">
        <v>33</v>
      </c>
      <c r="M44" s="3">
        <f>IFERROR(K44/J44,0)</f>
      </c>
      <c r="N44" t="s">
        <v>125</v>
      </c>
      <c r="O44" t="s">
        <v>55</v>
      </c>
      <c r="P44" t="s">
        <v>152</v>
      </c>
      <c r="Q44" t="s">
        <v>33</v>
      </c>
      <c r="R44" t="s">
        <v>153</v>
      </c>
      <c r="S44" t="s">
        <v>55</v>
      </c>
      <c r="T44" t="n" s="2">
        <v>9.88</v>
      </c>
      <c r="U44" t="s">
        <v>154</v>
      </c>
      <c r="V44" t="s">
        <v>39</v>
      </c>
      <c r="W44" t="n" s="2">
        <v>-0.62</v>
      </c>
    </row>
    <row r="45">
      <c r="A45" t="s" s="0">
        <v>117</v>
      </c>
      <c r="B45" t="s" s="0">
        <v>24</v>
      </c>
      <c r="C45" t="s" s="0">
        <v>118</v>
      </c>
      <c r="D45" t="s" s="0">
        <v>119</v>
      </c>
      <c r="E45" t="s" s="0">
        <v>120</v>
      </c>
      <c r="F45" t="s" s="0">
        <v>121</v>
      </c>
      <c r="G45" t="s" s="0">
        <v>99</v>
      </c>
      <c r="H45" t="s" s="0">
        <v>155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125</v>
      </c>
      <c r="O45" t="s">
        <v>55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117</v>
      </c>
      <c r="B46" t="s" s="0">
        <v>24</v>
      </c>
      <c r="C46" t="s" s="0">
        <v>118</v>
      </c>
      <c r="D46" t="s" s="0">
        <v>119</v>
      </c>
      <c r="E46" t="s" s="0">
        <v>120</v>
      </c>
      <c r="F46" t="s" s="0">
        <v>121</v>
      </c>
      <c r="G46" t="s" s="0">
        <v>122</v>
      </c>
      <c r="H46" t="s" s="0">
        <v>156</v>
      </c>
      <c r="I46" t="s" s="0">
        <v>124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125</v>
      </c>
      <c r="O46" t="s">
        <v>55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117</v>
      </c>
      <c r="B47" t="s" s="0">
        <v>24</v>
      </c>
      <c r="C47" t="s" s="0">
        <v>118</v>
      </c>
      <c r="D47" t="s" s="0">
        <v>119</v>
      </c>
      <c r="E47" t="s" s="0">
        <v>120</v>
      </c>
      <c r="F47" t="s" s="0">
        <v>121</v>
      </c>
      <c r="G47" t="s" s="0">
        <v>99</v>
      </c>
      <c r="H47" t="s" s="0">
        <v>157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125</v>
      </c>
      <c r="O47" t="s">
        <v>55</v>
      </c>
      <c r="P47" t="s">
        <v>158</v>
      </c>
      <c r="Q47" t="s">
        <v>33</v>
      </c>
      <c r="R47" t="s">
        <v>159</v>
      </c>
      <c r="S47" t="s">
        <v>67</v>
      </c>
      <c r="T47" t="n" s="2">
        <v>9.88</v>
      </c>
      <c r="U47" t="s">
        <v>150</v>
      </c>
      <c r="V47" t="s">
        <v>39</v>
      </c>
      <c r="W47" t="n" s="2">
        <v>-1.12</v>
      </c>
    </row>
    <row r="48">
      <c r="A48" t="s" s="0">
        <v>117</v>
      </c>
      <c r="B48" t="s" s="0">
        <v>24</v>
      </c>
      <c r="C48" t="s" s="0">
        <v>118</v>
      </c>
      <c r="D48" t="s" s="0">
        <v>119</v>
      </c>
      <c r="E48" t="s" s="0">
        <v>120</v>
      </c>
      <c r="F48" t="s" s="0">
        <v>121</v>
      </c>
      <c r="G48" t="s" s="0">
        <v>122</v>
      </c>
      <c r="H48" t="s" s="0">
        <v>160</v>
      </c>
      <c r="I48" t="s" s="0">
        <v>124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125</v>
      </c>
      <c r="O48" t="s">
        <v>55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117</v>
      </c>
      <c r="B49" t="s" s="0">
        <v>24</v>
      </c>
      <c r="C49" t="s" s="0">
        <v>118</v>
      </c>
      <c r="D49" t="s" s="0">
        <v>119</v>
      </c>
      <c r="E49" t="s" s="0">
        <v>120</v>
      </c>
      <c r="F49" t="s" s="0">
        <v>121</v>
      </c>
      <c r="G49" t="s" s="0">
        <v>122</v>
      </c>
      <c r="H49" t="s" s="0">
        <v>161</v>
      </c>
      <c r="I49" t="s" s="0">
        <v>124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125</v>
      </c>
      <c r="O49" t="s">
        <v>55</v>
      </c>
      <c r="P49" t="s">
        <v>33</v>
      </c>
      <c r="Q49" t="s">
        <v>33</v>
      </c>
      <c r="R49" t="s">
        <v>33</v>
      </c>
      <c r="S49" t="s">
        <v>34</v>
      </c>
      <c r="U49" t="s">
        <v>39</v>
      </c>
      <c r="V49" t="s">
        <v>39</v>
      </c>
      <c r="W49" t="s">
        <v>39</v>
      </c>
    </row>
    <row r="50">
      <c r="A50" t="s" s="0">
        <v>162</v>
      </c>
      <c r="B50" t="s" s="0">
        <v>163</v>
      </c>
      <c r="C50" t="s" s="0">
        <v>164</v>
      </c>
      <c r="D50" t="s" s="0">
        <v>165</v>
      </c>
      <c r="E50" t="s" s="0">
        <v>166</v>
      </c>
      <c r="F50" t="s" s="0">
        <v>167</v>
      </c>
      <c r="G50" t="s" s="0">
        <v>168</v>
      </c>
      <c r="H50" t="s" s="0">
        <v>169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55</v>
      </c>
      <c r="O50" t="s">
        <v>55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162</v>
      </c>
      <c r="B51" t="s" s="0">
        <v>163</v>
      </c>
      <c r="C51" t="s" s="0">
        <v>164</v>
      </c>
      <c r="D51" t="s" s="0">
        <v>165</v>
      </c>
      <c r="E51" t="s" s="0">
        <v>166</v>
      </c>
      <c r="F51" t="s" s="0">
        <v>167</v>
      </c>
      <c r="G51" t="s" s="0">
        <v>168</v>
      </c>
      <c r="H51" t="s" s="0">
        <v>170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55</v>
      </c>
      <c r="O51" t="s">
        <v>55</v>
      </c>
      <c r="P51" t="s">
        <v>33</v>
      </c>
      <c r="Q51" t="s">
        <v>33</v>
      </c>
      <c r="R51" t="s">
        <v>33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162</v>
      </c>
      <c r="B52" t="s" s="0">
        <v>163</v>
      </c>
      <c r="C52" t="s" s="0">
        <v>164</v>
      </c>
      <c r="D52" t="s" s="0">
        <v>165</v>
      </c>
      <c r="E52" t="s" s="0">
        <v>166</v>
      </c>
      <c r="F52" t="s" s="0">
        <v>167</v>
      </c>
      <c r="G52" t="s" s="0">
        <v>168</v>
      </c>
      <c r="H52" t="s" s="0">
        <v>171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55</v>
      </c>
      <c r="O52" t="s">
        <v>55</v>
      </c>
      <c r="P52" t="s">
        <v>172</v>
      </c>
      <c r="Q52" t="s">
        <v>33</v>
      </c>
      <c r="R52" t="s">
        <v>173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162</v>
      </c>
      <c r="B53" t="s" s="0">
        <v>163</v>
      </c>
      <c r="C53" t="s" s="0">
        <v>164</v>
      </c>
      <c r="D53" t="s" s="0">
        <v>165</v>
      </c>
      <c r="E53" t="s" s="0">
        <v>166</v>
      </c>
      <c r="F53" t="s" s="0">
        <v>167</v>
      </c>
      <c r="G53" t="s" s="0">
        <v>168</v>
      </c>
      <c r="H53" t="s" s="0">
        <v>174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55</v>
      </c>
      <c r="O53" t="s">
        <v>55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162</v>
      </c>
      <c r="B54" t="s" s="0">
        <v>163</v>
      </c>
      <c r="C54" t="s" s="0">
        <v>164</v>
      </c>
      <c r="D54" t="s" s="0">
        <v>165</v>
      </c>
      <c r="E54" t="s" s="0">
        <v>166</v>
      </c>
      <c r="F54" t="s" s="0">
        <v>167</v>
      </c>
      <c r="G54" t="s" s="0">
        <v>168</v>
      </c>
      <c r="H54" t="s" s="0">
        <v>175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55</v>
      </c>
      <c r="O54" t="s">
        <v>55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162</v>
      </c>
      <c r="B55" t="s" s="0">
        <v>163</v>
      </c>
      <c r="C55" t="s" s="0">
        <v>164</v>
      </c>
      <c r="D55" t="s" s="0">
        <v>165</v>
      </c>
      <c r="E55" t="s" s="0">
        <v>166</v>
      </c>
      <c r="F55" t="s" s="0">
        <v>167</v>
      </c>
      <c r="G55" t="s" s="0">
        <v>176</v>
      </c>
      <c r="H55" t="s" s="0">
        <v>177</v>
      </c>
      <c r="I55" t="s" s="0">
        <v>106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55</v>
      </c>
      <c r="O55" t="s">
        <v>55</v>
      </c>
      <c r="P55" t="s">
        <v>178</v>
      </c>
      <c r="Q55" t="s">
        <v>33</v>
      </c>
      <c r="R55" t="s">
        <v>179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162</v>
      </c>
      <c r="B56" t="s" s="0">
        <v>163</v>
      </c>
      <c r="C56" t="s" s="0">
        <v>164</v>
      </c>
      <c r="D56" t="s" s="0">
        <v>165</v>
      </c>
      <c r="E56" t="s" s="0">
        <v>166</v>
      </c>
      <c r="F56" t="s" s="0">
        <v>167</v>
      </c>
      <c r="G56" t="s" s="0">
        <v>176</v>
      </c>
      <c r="H56" t="s" s="0">
        <v>180</v>
      </c>
      <c r="I56" t="s" s="0">
        <v>106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55</v>
      </c>
      <c r="O56" t="s">
        <v>55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162</v>
      </c>
      <c r="B57" t="s" s="0">
        <v>163</v>
      </c>
      <c r="C57" t="s" s="0">
        <v>164</v>
      </c>
      <c r="D57" t="s" s="0">
        <v>165</v>
      </c>
      <c r="E57" t="s" s="0">
        <v>166</v>
      </c>
      <c r="F57" t="s" s="0">
        <v>167</v>
      </c>
      <c r="G57" t="s" s="0">
        <v>176</v>
      </c>
      <c r="H57" t="s" s="0">
        <v>181</v>
      </c>
      <c r="I57" t="s" s="0">
        <v>106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55</v>
      </c>
      <c r="O57" t="s">
        <v>55</v>
      </c>
      <c r="P57" t="s">
        <v>33</v>
      </c>
      <c r="Q57" t="s">
        <v>33</v>
      </c>
      <c r="R57" t="s">
        <v>33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162</v>
      </c>
      <c r="B58" t="s" s="0">
        <v>163</v>
      </c>
      <c r="C58" t="s" s="0">
        <v>164</v>
      </c>
      <c r="D58" t="s" s="0">
        <v>165</v>
      </c>
      <c r="E58" t="s" s="0">
        <v>166</v>
      </c>
      <c r="F58" t="s" s="0">
        <v>167</v>
      </c>
      <c r="G58" t="s" s="0">
        <v>176</v>
      </c>
      <c r="H58" t="s" s="0">
        <v>182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55</v>
      </c>
      <c r="O58" t="s">
        <v>55</v>
      </c>
      <c r="P58" t="s">
        <v>33</v>
      </c>
      <c r="Q58" t="s">
        <v>183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162</v>
      </c>
      <c r="B59" t="s" s="0">
        <v>163</v>
      </c>
      <c r="C59" t="s" s="0">
        <v>164</v>
      </c>
      <c r="D59" t="s" s="0">
        <v>165</v>
      </c>
      <c r="E59" t="s" s="0">
        <v>166</v>
      </c>
      <c r="F59" t="s" s="0">
        <v>167</v>
      </c>
      <c r="G59" t="s" s="0">
        <v>176</v>
      </c>
      <c r="H59" t="s" s="0">
        <v>184</v>
      </c>
      <c r="I59" t="s" s="0">
        <v>31</v>
      </c>
      <c r="J59" t="s" s="0">
        <v>33</v>
      </c>
      <c r="K59" t="n" s="2">
        <v>9.5</v>
      </c>
      <c r="L59" t="s">
        <v>33</v>
      </c>
      <c r="M59" s="3">
        <f>IFERROR(K59/J59,0)</f>
      </c>
      <c r="N59" t="s">
        <v>55</v>
      </c>
      <c r="O59" t="s">
        <v>55</v>
      </c>
      <c r="P59" t="s">
        <v>33</v>
      </c>
      <c r="Q59" t="s">
        <v>185</v>
      </c>
      <c r="R59" t="s">
        <v>33</v>
      </c>
      <c r="S59" t="s">
        <v>34</v>
      </c>
      <c r="U59" t="s">
        <v>39</v>
      </c>
      <c r="V59" t="s">
        <v>39</v>
      </c>
      <c r="W59" t="s">
        <v>39</v>
      </c>
    </row>
    <row r="60">
      <c r="A60" t="s" s="0">
        <v>186</v>
      </c>
      <c r="B60" t="s" s="0">
        <v>163</v>
      </c>
      <c r="C60" t="s" s="0">
        <v>164</v>
      </c>
      <c r="D60" t="s" s="0">
        <v>187</v>
      </c>
      <c r="E60" t="s" s="0">
        <v>166</v>
      </c>
      <c r="F60" t="s" s="0">
        <v>188</v>
      </c>
      <c r="G60" t="s" s="0">
        <v>40</v>
      </c>
      <c r="H60" t="s" s="0">
        <v>77</v>
      </c>
      <c r="I60" t="s" s="0">
        <v>31</v>
      </c>
      <c r="J60" t="n" s="2">
        <v>17.0</v>
      </c>
      <c r="K60" t="n" s="2">
        <v>7.9</v>
      </c>
      <c r="L60" t="n" s="2">
        <v>9.1</v>
      </c>
      <c r="M60" s="3">
        <f>IFERROR(K60/J60,0)</f>
      </c>
      <c r="N60" t="s">
        <v>189</v>
      </c>
      <c r="O60" t="s">
        <v>47</v>
      </c>
      <c r="P60" t="s">
        <v>190</v>
      </c>
      <c r="Q60" t="s">
        <v>191</v>
      </c>
      <c r="R60" t="s">
        <v>192</v>
      </c>
      <c r="S60" t="s">
        <v>42</v>
      </c>
      <c r="T60" t="n" s="2">
        <v>15.1</v>
      </c>
      <c r="U60" t="s">
        <v>193</v>
      </c>
      <c r="V60" t="s">
        <v>194</v>
      </c>
      <c r="W60" t="n" s="2">
        <v>-1.9</v>
      </c>
    </row>
    <row r="61">
      <c r="A61" t="s" s="0">
        <v>186</v>
      </c>
      <c r="B61" t="s" s="0">
        <v>163</v>
      </c>
      <c r="C61" t="s" s="0">
        <v>164</v>
      </c>
      <c r="D61" t="s" s="0">
        <v>187</v>
      </c>
      <c r="E61" t="s" s="0">
        <v>166</v>
      </c>
      <c r="F61" t="s" s="0">
        <v>188</v>
      </c>
      <c r="G61" t="s" s="0">
        <v>40</v>
      </c>
      <c r="H61" t="s" s="0">
        <v>195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189</v>
      </c>
      <c r="O61" t="s">
        <v>47</v>
      </c>
      <c r="P61" t="s">
        <v>33</v>
      </c>
      <c r="Q61" t="s">
        <v>33</v>
      </c>
      <c r="R61" t="s">
        <v>33</v>
      </c>
      <c r="S61" t="s">
        <v>49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186</v>
      </c>
      <c r="B62" t="s" s="0">
        <v>163</v>
      </c>
      <c r="C62" t="s" s="0">
        <v>164</v>
      </c>
      <c r="D62" t="s" s="0">
        <v>187</v>
      </c>
      <c r="E62" t="s" s="0">
        <v>166</v>
      </c>
      <c r="F62" t="s" s="0">
        <v>188</v>
      </c>
      <c r="G62" t="s" s="0">
        <v>29</v>
      </c>
      <c r="H62" t="s" s="0">
        <v>196</v>
      </c>
      <c r="I62" t="s" s="0">
        <v>31</v>
      </c>
      <c r="J62" t="n" s="2">
        <v>18.0</v>
      </c>
      <c r="K62" t="n" s="2">
        <v>8.9</v>
      </c>
      <c r="L62" t="n" s="2">
        <v>9.1</v>
      </c>
      <c r="M62" s="3">
        <f>IFERROR(K62/J62,0)</f>
      </c>
      <c r="N62" t="s">
        <v>189</v>
      </c>
      <c r="O62" t="s">
        <v>47</v>
      </c>
      <c r="P62" t="s">
        <v>197</v>
      </c>
      <c r="Q62" t="s">
        <v>198</v>
      </c>
      <c r="R62" t="s">
        <v>199</v>
      </c>
      <c r="S62" t="s">
        <v>51</v>
      </c>
      <c r="T62" t="n" s="2">
        <v>16.3</v>
      </c>
      <c r="U62" t="s">
        <v>200</v>
      </c>
      <c r="V62" t="s">
        <v>201</v>
      </c>
      <c r="W62" t="n" s="2">
        <v>-1.7</v>
      </c>
    </row>
    <row r="63">
      <c r="A63" t="s" s="0">
        <v>186</v>
      </c>
      <c r="B63" t="s" s="0">
        <v>163</v>
      </c>
      <c r="C63" t="s" s="0">
        <v>164</v>
      </c>
      <c r="D63" t="s" s="0">
        <v>187</v>
      </c>
      <c r="E63" t="s" s="0">
        <v>166</v>
      </c>
      <c r="F63" t="s" s="0">
        <v>188</v>
      </c>
      <c r="G63" t="s" s="0">
        <v>29</v>
      </c>
      <c r="H63" t="s" s="0">
        <v>83</v>
      </c>
      <c r="I63" t="s" s="0">
        <v>31</v>
      </c>
      <c r="J63" t="n" s="2">
        <v>18.2</v>
      </c>
      <c r="K63" t="n" s="2">
        <v>8.7</v>
      </c>
      <c r="L63" t="n" s="2">
        <v>9.5</v>
      </c>
      <c r="M63" s="3">
        <f>IFERROR(K63/J63,0)</f>
      </c>
      <c r="N63" t="s">
        <v>189</v>
      </c>
      <c r="O63" t="s">
        <v>47</v>
      </c>
      <c r="P63" t="s">
        <v>202</v>
      </c>
      <c r="Q63" t="s">
        <v>203</v>
      </c>
      <c r="R63" t="s">
        <v>204</v>
      </c>
      <c r="S63" t="s">
        <v>53</v>
      </c>
      <c r="T63" t="n" s="2">
        <v>16.3</v>
      </c>
      <c r="U63" t="s">
        <v>205</v>
      </c>
      <c r="V63" t="s">
        <v>206</v>
      </c>
      <c r="W63" t="n" s="2">
        <v>-1.9</v>
      </c>
    </row>
    <row r="64">
      <c r="A64" t="s" s="0">
        <v>186</v>
      </c>
      <c r="B64" t="s" s="0">
        <v>163</v>
      </c>
      <c r="C64" t="s" s="0">
        <v>164</v>
      </c>
      <c r="D64" t="s" s="0">
        <v>187</v>
      </c>
      <c r="E64" t="s" s="0">
        <v>166</v>
      </c>
      <c r="F64" t="s" s="0">
        <v>188</v>
      </c>
      <c r="G64" t="s" s="0">
        <v>29</v>
      </c>
      <c r="H64" t="s" s="0">
        <v>96</v>
      </c>
      <c r="I64" t="s" s="0">
        <v>31</v>
      </c>
      <c r="J64" t="n" s="2">
        <v>18.5</v>
      </c>
      <c r="K64" t="s">
        <v>33</v>
      </c>
      <c r="L64" t="s">
        <v>33</v>
      </c>
      <c r="M64" s="3">
        <f>IFERROR(K64/J64,0)</f>
      </c>
      <c r="N64" t="s">
        <v>189</v>
      </c>
      <c r="O64" t="s">
        <v>47</v>
      </c>
      <c r="P64" t="s">
        <v>207</v>
      </c>
      <c r="Q64" t="s">
        <v>33</v>
      </c>
      <c r="R64" t="s">
        <v>208</v>
      </c>
      <c r="S64" t="s">
        <v>55</v>
      </c>
      <c r="T64" t="n" s="2">
        <v>16.3</v>
      </c>
      <c r="U64" t="s">
        <v>209</v>
      </c>
      <c r="V64" t="s">
        <v>39</v>
      </c>
      <c r="W64" t="n" s="2">
        <v>-2.2</v>
      </c>
    </row>
    <row r="65">
      <c r="A65" t="s" s="0">
        <v>186</v>
      </c>
      <c r="B65" t="s" s="0">
        <v>163</v>
      </c>
      <c r="C65" t="s" s="0">
        <v>164</v>
      </c>
      <c r="D65" t="s" s="0">
        <v>187</v>
      </c>
      <c r="E65" t="s" s="0">
        <v>166</v>
      </c>
      <c r="F65" t="s" s="0">
        <v>188</v>
      </c>
      <c r="G65" t="s" s="0">
        <v>29</v>
      </c>
      <c r="H65" t="s" s="0">
        <v>115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189</v>
      </c>
      <c r="O65" t="s">
        <v>47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210</v>
      </c>
      <c r="B66" t="s" s="0">
        <v>163</v>
      </c>
      <c r="C66" t="s" s="0">
        <v>164</v>
      </c>
      <c r="D66" t="s" s="0">
        <v>211</v>
      </c>
      <c r="E66" t="s" s="0">
        <v>120</v>
      </c>
      <c r="F66" t="s" s="0">
        <v>212</v>
      </c>
      <c r="G66" t="s" s="0">
        <v>213</v>
      </c>
      <c r="H66" t="s" s="0">
        <v>107</v>
      </c>
      <c r="I66" t="s" s="0">
        <v>31</v>
      </c>
      <c r="J66" t="n" s="2">
        <v>16.0</v>
      </c>
      <c r="K66" t="n" s="2">
        <v>9.0</v>
      </c>
      <c r="L66" t="n" s="2">
        <v>7.0</v>
      </c>
      <c r="M66" s="3">
        <f>IFERROR(K66/J66,0)</f>
      </c>
      <c r="N66" t="s">
        <v>214</v>
      </c>
      <c r="O66" t="s">
        <v>53</v>
      </c>
      <c r="P66" t="s">
        <v>215</v>
      </c>
      <c r="Q66" t="s">
        <v>216</v>
      </c>
      <c r="R66" t="s">
        <v>217</v>
      </c>
      <c r="S66" t="s">
        <v>42</v>
      </c>
      <c r="T66" t="n" s="2">
        <v>16.4</v>
      </c>
      <c r="U66" t="s">
        <v>218</v>
      </c>
      <c r="V66" t="s">
        <v>219</v>
      </c>
      <c r="W66" t="n" s="2">
        <v>0.4</v>
      </c>
    </row>
    <row r="67">
      <c r="A67" t="s" s="0">
        <v>210</v>
      </c>
      <c r="B67" t="s" s="0">
        <v>163</v>
      </c>
      <c r="C67" t="s" s="0">
        <v>164</v>
      </c>
      <c r="D67" t="s" s="0">
        <v>211</v>
      </c>
      <c r="E67" t="s" s="0">
        <v>120</v>
      </c>
      <c r="F67" t="s" s="0">
        <v>212</v>
      </c>
      <c r="G67" t="s" s="0">
        <v>213</v>
      </c>
      <c r="H67" t="s" s="0">
        <v>220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214</v>
      </c>
      <c r="O67" t="s">
        <v>53</v>
      </c>
      <c r="P67" t="s">
        <v>221</v>
      </c>
      <c r="Q67" t="s">
        <v>33</v>
      </c>
      <c r="R67" t="s">
        <v>222</v>
      </c>
      <c r="S67" t="s">
        <v>49</v>
      </c>
      <c r="T67" t="n" s="2">
        <v>16.4</v>
      </c>
      <c r="U67" t="s">
        <v>218</v>
      </c>
      <c r="V67" t="s">
        <v>39</v>
      </c>
      <c r="W67" t="n" s="2">
        <v>0.4</v>
      </c>
    </row>
    <row r="68">
      <c r="A68" t="s" s="0">
        <v>210</v>
      </c>
      <c r="B68" t="s" s="0">
        <v>163</v>
      </c>
      <c r="C68" t="s" s="0">
        <v>164</v>
      </c>
      <c r="D68" t="s" s="0">
        <v>211</v>
      </c>
      <c r="E68" t="s" s="0">
        <v>120</v>
      </c>
      <c r="F68" t="s" s="0">
        <v>212</v>
      </c>
      <c r="G68" t="s" s="0">
        <v>213</v>
      </c>
      <c r="H68" t="s" s="0">
        <v>223</v>
      </c>
      <c r="I68" t="s" s="0">
        <v>31</v>
      </c>
      <c r="J68" t="n" s="2">
        <v>17.5</v>
      </c>
      <c r="K68" t="n" s="2">
        <v>8.5</v>
      </c>
      <c r="L68" t="n" s="2">
        <v>9.0</v>
      </c>
      <c r="M68" s="3">
        <f>IFERROR(K68/J68,0)</f>
      </c>
      <c r="N68" t="s">
        <v>214</v>
      </c>
      <c r="O68" t="s">
        <v>53</v>
      </c>
      <c r="P68" t="s">
        <v>224</v>
      </c>
      <c r="Q68" t="s">
        <v>225</v>
      </c>
      <c r="R68" t="s">
        <v>226</v>
      </c>
      <c r="S68" t="s">
        <v>51</v>
      </c>
      <c r="T68" t="n" s="2">
        <v>16.4</v>
      </c>
      <c r="U68" t="s">
        <v>227</v>
      </c>
      <c r="V68" t="s">
        <v>228</v>
      </c>
      <c r="W68" t="n" s="2">
        <v>-1.1</v>
      </c>
    </row>
    <row r="69">
      <c r="A69" t="s" s="0">
        <v>210</v>
      </c>
      <c r="B69" t="s" s="0">
        <v>163</v>
      </c>
      <c r="C69" t="s" s="0">
        <v>164</v>
      </c>
      <c r="D69" t="s" s="0">
        <v>211</v>
      </c>
      <c r="E69" t="s" s="0">
        <v>120</v>
      </c>
      <c r="F69" t="s" s="0">
        <v>212</v>
      </c>
      <c r="G69" t="s" s="0">
        <v>229</v>
      </c>
      <c r="H69" t="s" s="0">
        <v>230</v>
      </c>
      <c r="I69" t="s" s="0">
        <v>31</v>
      </c>
      <c r="J69" t="n" s="2">
        <v>18.0</v>
      </c>
      <c r="K69" t="s">
        <v>33</v>
      </c>
      <c r="L69" t="s">
        <v>33</v>
      </c>
      <c r="M69" s="3">
        <f>IFERROR(K69/J69,0)</f>
      </c>
      <c r="N69" t="s">
        <v>214</v>
      </c>
      <c r="O69" t="s">
        <v>53</v>
      </c>
      <c r="P69" t="s">
        <v>231</v>
      </c>
      <c r="Q69" t="s">
        <v>33</v>
      </c>
      <c r="R69" t="s">
        <v>232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210</v>
      </c>
      <c r="B70" t="s" s="0">
        <v>163</v>
      </c>
      <c r="C70" t="s" s="0">
        <v>164</v>
      </c>
      <c r="D70" t="s" s="0">
        <v>211</v>
      </c>
      <c r="E70" t="s" s="0">
        <v>120</v>
      </c>
      <c r="F70" t="s" s="0">
        <v>212</v>
      </c>
      <c r="G70" t="s" s="0">
        <v>233</v>
      </c>
      <c r="H70" t="s" s="0">
        <v>234</v>
      </c>
      <c r="I70" t="s" s="0">
        <v>106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214</v>
      </c>
      <c r="O70" t="s">
        <v>53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210</v>
      </c>
      <c r="B71" t="s" s="0">
        <v>163</v>
      </c>
      <c r="C71" t="s" s="0">
        <v>164</v>
      </c>
      <c r="D71" t="s" s="0">
        <v>211</v>
      </c>
      <c r="E71" t="s" s="0">
        <v>120</v>
      </c>
      <c r="F71" t="s" s="0">
        <v>212</v>
      </c>
      <c r="G71" t="s" s="0">
        <v>233</v>
      </c>
      <c r="H71" t="s" s="0">
        <v>235</v>
      </c>
      <c r="I71" t="s" s="0">
        <v>106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214</v>
      </c>
      <c r="O71" t="s">
        <v>53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210</v>
      </c>
      <c r="B72" t="s" s="0">
        <v>163</v>
      </c>
      <c r="C72" t="s" s="0">
        <v>164</v>
      </c>
      <c r="D72" t="s" s="0">
        <v>211</v>
      </c>
      <c r="E72" t="s" s="0">
        <v>120</v>
      </c>
      <c r="F72" t="s" s="0">
        <v>212</v>
      </c>
      <c r="G72" t="s" s="0">
        <v>236</v>
      </c>
      <c r="H72" t="s" s="0">
        <v>237</v>
      </c>
      <c r="I72" t="s" s="0">
        <v>106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214</v>
      </c>
      <c r="O72" t="s">
        <v>53</v>
      </c>
      <c r="P72" t="s">
        <v>33</v>
      </c>
      <c r="Q72" t="s">
        <v>33</v>
      </c>
      <c r="R72" t="s">
        <v>33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210</v>
      </c>
      <c r="B73" t="s" s="0">
        <v>163</v>
      </c>
      <c r="C73" t="s" s="0">
        <v>164</v>
      </c>
      <c r="D73" t="s" s="0">
        <v>211</v>
      </c>
      <c r="E73" t="s" s="0">
        <v>120</v>
      </c>
      <c r="F73" t="s" s="0">
        <v>212</v>
      </c>
      <c r="G73" t="s" s="0">
        <v>236</v>
      </c>
      <c r="H73" t="s" s="0">
        <v>238</v>
      </c>
      <c r="I73" t="s" s="0">
        <v>106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214</v>
      </c>
      <c r="O73" t="s">
        <v>53</v>
      </c>
      <c r="P73" t="s">
        <v>239</v>
      </c>
      <c r="Q73" t="s">
        <v>240</v>
      </c>
      <c r="R73" t="s">
        <v>241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242</v>
      </c>
      <c r="B74" t="s" s="0">
        <v>163</v>
      </c>
      <c r="C74" t="s" s="0">
        <v>164</v>
      </c>
      <c r="D74" t="s" s="0">
        <v>243</v>
      </c>
      <c r="E74" t="s" s="0">
        <v>244</v>
      </c>
      <c r="F74" t="s" s="0">
        <v>245</v>
      </c>
      <c r="G74" t="s" s="0">
        <v>122</v>
      </c>
      <c r="H74" t="s" s="0">
        <v>40</v>
      </c>
      <c r="I74" t="s" s="0">
        <v>124</v>
      </c>
      <c r="J74" t="n" s="2">
        <v>15.8</v>
      </c>
      <c r="K74" t="n" s="2">
        <v>6.4</v>
      </c>
      <c r="L74" t="n" s="2">
        <v>9.4</v>
      </c>
      <c r="M74" s="3">
        <f>IFERROR(K74/J74,0)</f>
      </c>
      <c r="N74" t="s">
        <v>133</v>
      </c>
      <c r="O74" t="s">
        <v>139</v>
      </c>
      <c r="P74" t="s">
        <v>246</v>
      </c>
      <c r="Q74" t="s">
        <v>246</v>
      </c>
      <c r="R74" t="s">
        <v>247</v>
      </c>
      <c r="S74" t="s">
        <v>42</v>
      </c>
      <c r="T74" t="n" s="2">
        <v>12.4</v>
      </c>
      <c r="U74" t="s">
        <v>248</v>
      </c>
      <c r="V74" t="s">
        <v>249</v>
      </c>
      <c r="W74" t="n" s="2">
        <v>-3.4</v>
      </c>
    </row>
    <row r="75">
      <c r="A75" t="s" s="0">
        <v>242</v>
      </c>
      <c r="B75" t="s" s="0">
        <v>163</v>
      </c>
      <c r="C75" t="s" s="0">
        <v>164</v>
      </c>
      <c r="D75" t="s" s="0">
        <v>243</v>
      </c>
      <c r="E75" t="s" s="0">
        <v>244</v>
      </c>
      <c r="F75" t="s" s="0">
        <v>245</v>
      </c>
      <c r="G75" t="s" s="0">
        <v>99</v>
      </c>
      <c r="H75" t="s" s="0">
        <v>250</v>
      </c>
      <c r="I75" t="s" s="0">
        <v>31</v>
      </c>
      <c r="J75" t="s" s="0">
        <v>33</v>
      </c>
      <c r="K75" t="n" s="2">
        <v>6.5</v>
      </c>
      <c r="L75" t="s">
        <v>33</v>
      </c>
      <c r="M75" s="3">
        <f>IFERROR(K75/J75,0)</f>
      </c>
      <c r="N75" t="s">
        <v>133</v>
      </c>
      <c r="O75" t="s">
        <v>139</v>
      </c>
      <c r="P75" t="s">
        <v>33</v>
      </c>
      <c r="Q75" t="s">
        <v>251</v>
      </c>
      <c r="R75" t="s">
        <v>33</v>
      </c>
      <c r="S75" t="s">
        <v>49</v>
      </c>
      <c r="T75" t="n" s="2">
        <v>14.6</v>
      </c>
      <c r="U75" t="s">
        <v>39</v>
      </c>
      <c r="V75" t="s">
        <v>39</v>
      </c>
      <c r="W75" t="s">
        <v>39</v>
      </c>
    </row>
    <row r="76">
      <c r="A76" t="s" s="0">
        <v>242</v>
      </c>
      <c r="B76" t="s" s="0">
        <v>163</v>
      </c>
      <c r="C76" t="s" s="0">
        <v>164</v>
      </c>
      <c r="D76" t="s" s="0">
        <v>243</v>
      </c>
      <c r="E76" t="s" s="0">
        <v>244</v>
      </c>
      <c r="F76" t="s" s="0">
        <v>245</v>
      </c>
      <c r="G76" t="s" s="0">
        <v>99</v>
      </c>
      <c r="H76" t="s" s="0">
        <v>109</v>
      </c>
      <c r="I76" t="s" s="0">
        <v>252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133</v>
      </c>
      <c r="O76" t="s">
        <v>139</v>
      </c>
      <c r="P76" t="s">
        <v>33</v>
      </c>
      <c r="Q76" t="s">
        <v>33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242</v>
      </c>
      <c r="B77" t="s" s="0">
        <v>163</v>
      </c>
      <c r="C77" t="s" s="0">
        <v>164</v>
      </c>
      <c r="D77" t="s" s="0">
        <v>243</v>
      </c>
      <c r="E77" t="s" s="0">
        <v>244</v>
      </c>
      <c r="F77" t="s" s="0">
        <v>245</v>
      </c>
      <c r="G77" t="s" s="0">
        <v>76</v>
      </c>
      <c r="H77" t="s" s="0">
        <v>253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133</v>
      </c>
      <c r="O77" t="s">
        <v>139</v>
      </c>
      <c r="P77" t="s">
        <v>33</v>
      </c>
      <c r="Q77" t="s">
        <v>33</v>
      </c>
      <c r="R77" t="s">
        <v>33</v>
      </c>
      <c r="S77" t="s">
        <v>53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242</v>
      </c>
      <c r="B78" t="s" s="0">
        <v>163</v>
      </c>
      <c r="C78" t="s" s="0">
        <v>164</v>
      </c>
      <c r="D78" t="s" s="0">
        <v>243</v>
      </c>
      <c r="E78" t="s" s="0">
        <v>244</v>
      </c>
      <c r="F78" t="s" s="0">
        <v>245</v>
      </c>
      <c r="G78" t="s" s="0">
        <v>29</v>
      </c>
      <c r="H78" t="s" s="0">
        <v>254</v>
      </c>
      <c r="I78" t="s" s="0">
        <v>106</v>
      </c>
      <c r="J78" t="n" s="2">
        <v>21.5</v>
      </c>
      <c r="K78" t="s">
        <v>33</v>
      </c>
      <c r="L78" t="s">
        <v>33</v>
      </c>
      <c r="M78" s="3">
        <f>IFERROR(K78/J78,0)</f>
      </c>
      <c r="N78" t="s">
        <v>133</v>
      </c>
      <c r="O78" t="s">
        <v>139</v>
      </c>
      <c r="P78" t="s">
        <v>255</v>
      </c>
      <c r="Q78" t="s">
        <v>33</v>
      </c>
      <c r="R78" t="s">
        <v>256</v>
      </c>
      <c r="S78" t="s">
        <v>55</v>
      </c>
      <c r="T78" t="n" s="2">
        <v>17.3</v>
      </c>
      <c r="U78" t="s">
        <v>257</v>
      </c>
      <c r="V78" t="s">
        <v>39</v>
      </c>
      <c r="W78" t="n" s="2">
        <v>-4.2</v>
      </c>
    </row>
    <row r="79">
      <c r="A79" t="s" s="0">
        <v>258</v>
      </c>
      <c r="B79" t="s" s="0">
        <v>163</v>
      </c>
      <c r="C79" t="s" s="0">
        <v>164</v>
      </c>
      <c r="D79" t="s" s="0">
        <v>259</v>
      </c>
      <c r="E79" t="s" s="0">
        <v>244</v>
      </c>
      <c r="F79" t="s" s="0">
        <v>260</v>
      </c>
      <c r="G79" t="s" s="0">
        <v>261</v>
      </c>
      <c r="H79" t="s" s="0">
        <v>262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49</v>
      </c>
      <c r="O79" t="s">
        <v>53</v>
      </c>
      <c r="P79" t="s">
        <v>263</v>
      </c>
      <c r="Q79" t="s">
        <v>33</v>
      </c>
      <c r="R79" t="s">
        <v>264</v>
      </c>
      <c r="S79" t="s">
        <v>42</v>
      </c>
      <c r="T79" t="n" s="2">
        <v>15.7</v>
      </c>
      <c r="U79" t="s">
        <v>265</v>
      </c>
      <c r="V79" t="s">
        <v>39</v>
      </c>
      <c r="W79" t="n" s="2">
        <v>-2.3</v>
      </c>
    </row>
    <row r="80">
      <c r="A80" t="s" s="0">
        <v>258</v>
      </c>
      <c r="B80" t="s" s="0">
        <v>163</v>
      </c>
      <c r="C80" t="s" s="0">
        <v>164</v>
      </c>
      <c r="D80" t="s" s="0">
        <v>259</v>
      </c>
      <c r="E80" t="s" s="0">
        <v>244</v>
      </c>
      <c r="F80" t="s" s="0">
        <v>260</v>
      </c>
      <c r="G80" t="s" s="0">
        <v>261</v>
      </c>
      <c r="H80" t="s" s="0">
        <v>266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49</v>
      </c>
      <c r="O80" t="s">
        <v>53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258</v>
      </c>
      <c r="B81" t="s" s="0">
        <v>163</v>
      </c>
      <c r="C81" t="s" s="0">
        <v>164</v>
      </c>
      <c r="D81" t="s" s="0">
        <v>259</v>
      </c>
      <c r="E81" t="s" s="0">
        <v>244</v>
      </c>
      <c r="F81" t="s" s="0">
        <v>260</v>
      </c>
      <c r="G81" t="s" s="0">
        <v>261</v>
      </c>
      <c r="H81" t="s" s="0">
        <v>267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49</v>
      </c>
      <c r="O81" t="s">
        <v>53</v>
      </c>
      <c r="P81" t="s">
        <v>33</v>
      </c>
      <c r="Q81" t="s">
        <v>33</v>
      </c>
      <c r="R81" t="s">
        <v>33</v>
      </c>
      <c r="S81" t="s">
        <v>51</v>
      </c>
      <c r="T81" t="n" s="2">
        <v>15.7</v>
      </c>
      <c r="U81" t="s">
        <v>39</v>
      </c>
      <c r="V81" t="s">
        <v>39</v>
      </c>
      <c r="W81" t="s">
        <v>39</v>
      </c>
    </row>
    <row r="82">
      <c r="A82" t="s" s="0">
        <v>258</v>
      </c>
      <c r="B82" t="s" s="0">
        <v>163</v>
      </c>
      <c r="C82" t="s" s="0">
        <v>164</v>
      </c>
      <c r="D82" t="s" s="0">
        <v>259</v>
      </c>
      <c r="E82" t="s" s="0">
        <v>244</v>
      </c>
      <c r="F82" t="s" s="0">
        <v>260</v>
      </c>
      <c r="G82" t="s" s="0">
        <v>261</v>
      </c>
      <c r="H82" t="s" s="0">
        <v>268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49</v>
      </c>
      <c r="O82" t="s">
        <v>53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258</v>
      </c>
      <c r="B83" t="s" s="0">
        <v>163</v>
      </c>
      <c r="C83" t="s" s="0">
        <v>164</v>
      </c>
      <c r="D83" t="s" s="0">
        <v>259</v>
      </c>
      <c r="E83" t="s" s="0">
        <v>244</v>
      </c>
      <c r="F83" t="s" s="0">
        <v>260</v>
      </c>
      <c r="G83" t="s" s="0">
        <v>261</v>
      </c>
      <c r="H83" t="s" s="0">
        <v>269</v>
      </c>
      <c r="I83" t="s" s="0">
        <v>31</v>
      </c>
      <c r="J83" t="s" s="0">
        <v>33</v>
      </c>
      <c r="K83" t="n" s="2">
        <v>9.0</v>
      </c>
      <c r="L83" t="s">
        <v>33</v>
      </c>
      <c r="M83" s="3">
        <f>IFERROR(K83/J83,0)</f>
      </c>
      <c r="N83" t="s">
        <v>49</v>
      </c>
      <c r="O83" t="s">
        <v>53</v>
      </c>
      <c r="P83" t="s">
        <v>33</v>
      </c>
      <c r="Q83" t="s">
        <v>270</v>
      </c>
      <c r="R83" t="s">
        <v>33</v>
      </c>
      <c r="S83" t="s">
        <v>55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258</v>
      </c>
      <c r="B84" t="s" s="0">
        <v>163</v>
      </c>
      <c r="C84" t="s" s="0">
        <v>164</v>
      </c>
      <c r="D84" t="s" s="0">
        <v>259</v>
      </c>
      <c r="E84" t="s" s="0">
        <v>244</v>
      </c>
      <c r="F84" t="s" s="0">
        <v>260</v>
      </c>
      <c r="G84" t="s" s="0">
        <v>261</v>
      </c>
      <c r="H84" t="s" s="0">
        <v>271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49</v>
      </c>
      <c r="O84" t="s">
        <v>53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272</v>
      </c>
      <c r="B85" t="s" s="0">
        <v>163</v>
      </c>
      <c r="C85" t="s" s="0">
        <v>273</v>
      </c>
      <c r="D85" t="s" s="0">
        <v>274</v>
      </c>
      <c r="E85" t="s" s="0">
        <v>275</v>
      </c>
      <c r="F85" t="s" s="0">
        <v>276</v>
      </c>
      <c r="G85" t="s" s="0">
        <v>277</v>
      </c>
      <c r="H85" t="s" s="0">
        <v>278</v>
      </c>
      <c r="I85" t="s" s="0">
        <v>279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272</v>
      </c>
      <c r="B86" t="s" s="0">
        <v>163</v>
      </c>
      <c r="C86" t="s" s="0">
        <v>273</v>
      </c>
      <c r="D86" t="s" s="0">
        <v>274</v>
      </c>
      <c r="E86" t="s" s="0">
        <v>275</v>
      </c>
      <c r="F86" t="s" s="0">
        <v>276</v>
      </c>
      <c r="G86" t="s" s="0">
        <v>29</v>
      </c>
      <c r="H86" t="s" s="0">
        <v>280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35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272</v>
      </c>
      <c r="B87" t="s" s="0">
        <v>163</v>
      </c>
      <c r="C87" t="s" s="0">
        <v>273</v>
      </c>
      <c r="D87" t="s" s="0">
        <v>274</v>
      </c>
      <c r="E87" t="s" s="0">
        <v>275</v>
      </c>
      <c r="F87" t="s" s="0">
        <v>276</v>
      </c>
      <c r="G87" t="s" s="0">
        <v>29</v>
      </c>
      <c r="H87" t="s" s="0">
        <v>281</v>
      </c>
      <c r="I87" t="s" s="0">
        <v>31</v>
      </c>
      <c r="J87" t="n" s="2">
        <v>8.3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35</v>
      </c>
      <c r="P87" t="s">
        <v>282</v>
      </c>
      <c r="Q87" t="s">
        <v>33</v>
      </c>
      <c r="R87" t="s">
        <v>283</v>
      </c>
      <c r="S87" t="s">
        <v>51</v>
      </c>
      <c r="T87" t="n" s="2">
        <v>9.6</v>
      </c>
      <c r="U87" t="s">
        <v>284</v>
      </c>
      <c r="V87" t="s">
        <v>39</v>
      </c>
      <c r="W87" t="n" s="2">
        <v>1.3</v>
      </c>
    </row>
    <row r="88">
      <c r="A88" t="s" s="0">
        <v>272</v>
      </c>
      <c r="B88" t="s" s="0">
        <v>163</v>
      </c>
      <c r="C88" t="s" s="0">
        <v>273</v>
      </c>
      <c r="D88" t="s" s="0">
        <v>274</v>
      </c>
      <c r="E88" t="s" s="0">
        <v>275</v>
      </c>
      <c r="F88" t="s" s="0">
        <v>276</v>
      </c>
      <c r="G88" t="s" s="0">
        <v>29</v>
      </c>
      <c r="H88" t="s" s="0">
        <v>285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51</v>
      </c>
      <c r="O88" t="s">
        <v>35</v>
      </c>
      <c r="P88" t="s">
        <v>33</v>
      </c>
      <c r="Q88" t="s">
        <v>33</v>
      </c>
      <c r="R88" t="s">
        <v>33</v>
      </c>
      <c r="S88" t="s">
        <v>53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286</v>
      </c>
      <c r="B89" t="s" s="0">
        <v>163</v>
      </c>
      <c r="C89" t="s" s="0">
        <v>287</v>
      </c>
      <c r="D89" t="s" s="0">
        <v>288</v>
      </c>
      <c r="E89" t="s" s="0">
        <v>289</v>
      </c>
      <c r="F89" t="s" s="0">
        <v>290</v>
      </c>
      <c r="G89" t="s" s="0">
        <v>99</v>
      </c>
      <c r="H89" t="s" s="0">
        <v>291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</v>
      </c>
      <c r="O89" t="s">
        <v>53</v>
      </c>
      <c r="P89" t="s">
        <v>33</v>
      </c>
      <c r="Q89" t="s">
        <v>33</v>
      </c>
      <c r="R89" t="s">
        <v>33</v>
      </c>
      <c r="S89" t="s">
        <v>42</v>
      </c>
      <c r="T89" t="n" s="2">
        <v>8.7</v>
      </c>
      <c r="U89" t="s">
        <v>39</v>
      </c>
      <c r="V89" t="s">
        <v>39</v>
      </c>
      <c r="W89" t="s">
        <v>39</v>
      </c>
    </row>
    <row r="90">
      <c r="A90" t="s" s="0">
        <v>286</v>
      </c>
      <c r="B90" t="s" s="0">
        <v>163</v>
      </c>
      <c r="C90" t="s" s="0">
        <v>287</v>
      </c>
      <c r="D90" t="s" s="0">
        <v>288</v>
      </c>
      <c r="E90" t="s" s="0">
        <v>289</v>
      </c>
      <c r="F90" t="s" s="0">
        <v>290</v>
      </c>
      <c r="G90" t="s" s="0">
        <v>99</v>
      </c>
      <c r="H90" t="s" s="0">
        <v>292</v>
      </c>
      <c r="I90" t="s" s="0">
        <v>31</v>
      </c>
      <c r="J90" t="n" s="2">
        <v>7.4</v>
      </c>
      <c r="K90" t="n" s="2">
        <v>4.8</v>
      </c>
      <c r="L90" t="n" s="2">
        <v>2.6</v>
      </c>
      <c r="M90" s="3">
        <f>IFERROR(K90/J90,0)</f>
      </c>
      <c r="N90" t="s">
        <v>47</v>
      </c>
      <c r="O90" t="s">
        <v>53</v>
      </c>
      <c r="P90" t="s">
        <v>293</v>
      </c>
      <c r="Q90" t="s">
        <v>294</v>
      </c>
      <c r="R90" t="s">
        <v>295</v>
      </c>
      <c r="S90" t="s">
        <v>49</v>
      </c>
      <c r="T90" t="n" s="2">
        <v>8.7</v>
      </c>
      <c r="U90" t="s">
        <v>296</v>
      </c>
      <c r="V90" t="s">
        <v>297</v>
      </c>
      <c r="W90" t="n" s="2">
        <v>1.3</v>
      </c>
    </row>
    <row r="91">
      <c r="A91" t="s" s="0">
        <v>286</v>
      </c>
      <c r="B91" t="s" s="0">
        <v>163</v>
      </c>
      <c r="C91" t="s" s="0">
        <v>287</v>
      </c>
      <c r="D91" t="s" s="0">
        <v>288</v>
      </c>
      <c r="E91" t="s" s="0">
        <v>289</v>
      </c>
      <c r="F91" t="s" s="0">
        <v>290</v>
      </c>
      <c r="G91" t="s" s="0">
        <v>99</v>
      </c>
      <c r="H91" t="s" s="0">
        <v>298</v>
      </c>
      <c r="I91" t="s" s="0">
        <v>31</v>
      </c>
      <c r="J91" t="n" s="2">
        <v>7.3</v>
      </c>
      <c r="K91" t="n" s="2">
        <v>4.8</v>
      </c>
      <c r="L91" t="n" s="2">
        <v>2.5</v>
      </c>
      <c r="M91" s="3">
        <f>IFERROR(K91/J91,0)</f>
      </c>
      <c r="N91" t="s">
        <v>47</v>
      </c>
      <c r="O91" t="s">
        <v>53</v>
      </c>
      <c r="P91" t="s">
        <v>299</v>
      </c>
      <c r="Q91" t="s">
        <v>300</v>
      </c>
      <c r="R91" t="s">
        <v>301</v>
      </c>
      <c r="S91" t="s">
        <v>51</v>
      </c>
      <c r="T91" t="n" s="2">
        <v>8.7</v>
      </c>
      <c r="U91" t="s">
        <v>302</v>
      </c>
      <c r="V91" t="s">
        <v>303</v>
      </c>
      <c r="W91" t="n" s="2">
        <v>1.4</v>
      </c>
    </row>
    <row r="92">
      <c r="A92" t="s" s="0">
        <v>286</v>
      </c>
      <c r="B92" t="s" s="0">
        <v>163</v>
      </c>
      <c r="C92" t="s" s="0">
        <v>287</v>
      </c>
      <c r="D92" t="s" s="0">
        <v>288</v>
      </c>
      <c r="E92" t="s" s="0">
        <v>289</v>
      </c>
      <c r="F92" t="s" s="0">
        <v>290</v>
      </c>
      <c r="G92" t="s" s="0">
        <v>99</v>
      </c>
      <c r="H92" t="s" s="0">
        <v>304</v>
      </c>
      <c r="I92" t="s" s="0">
        <v>31</v>
      </c>
      <c r="J92" t="n" s="2">
        <v>7.25</v>
      </c>
      <c r="K92" t="n" s="2">
        <v>4.8</v>
      </c>
      <c r="L92" t="n" s="2">
        <v>2.45</v>
      </c>
      <c r="M92" s="3">
        <f>IFERROR(K92/J92,0)</f>
      </c>
      <c r="N92" t="s">
        <v>47</v>
      </c>
      <c r="O92" t="s">
        <v>53</v>
      </c>
      <c r="P92" t="s">
        <v>305</v>
      </c>
      <c r="Q92" t="s">
        <v>299</v>
      </c>
      <c r="R92" t="s">
        <v>306</v>
      </c>
      <c r="S92" t="s">
        <v>53</v>
      </c>
      <c r="T92" t="n" s="2">
        <v>8.7</v>
      </c>
      <c r="U92" t="s">
        <v>307</v>
      </c>
      <c r="V92" t="s">
        <v>308</v>
      </c>
      <c r="W92" t="n" s="2">
        <v>1.45</v>
      </c>
    </row>
    <row r="93">
      <c r="A93" t="s" s="0">
        <v>286</v>
      </c>
      <c r="B93" t="s" s="0">
        <v>163</v>
      </c>
      <c r="C93" t="s" s="0">
        <v>287</v>
      </c>
      <c r="D93" t="s" s="0">
        <v>288</v>
      </c>
      <c r="E93" t="s" s="0">
        <v>289</v>
      </c>
      <c r="F93" t="s" s="0">
        <v>290</v>
      </c>
      <c r="G93" t="s" s="0">
        <v>29</v>
      </c>
      <c r="H93" t="s" s="0">
        <v>104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47</v>
      </c>
      <c r="O93" t="s">
        <v>53</v>
      </c>
      <c r="P93" t="s">
        <v>309</v>
      </c>
      <c r="Q93" t="s">
        <v>33</v>
      </c>
      <c r="R93" t="s">
        <v>310</v>
      </c>
      <c r="S93" t="s">
        <v>55</v>
      </c>
      <c r="T93" t="n" s="2">
        <v>9.65</v>
      </c>
      <c r="U93" t="s">
        <v>311</v>
      </c>
      <c r="V93" t="s">
        <v>39</v>
      </c>
      <c r="W93" t="n" s="2">
        <v>0.65</v>
      </c>
    </row>
    <row r="94">
      <c r="A94" t="s" s="0">
        <v>286</v>
      </c>
      <c r="B94" t="s" s="0">
        <v>163</v>
      </c>
      <c r="C94" t="s" s="0">
        <v>287</v>
      </c>
      <c r="D94" t="s" s="0">
        <v>288</v>
      </c>
      <c r="E94" t="s" s="0">
        <v>289</v>
      </c>
      <c r="F94" t="s" s="0">
        <v>290</v>
      </c>
      <c r="G94" t="s" s="0">
        <v>312</v>
      </c>
      <c r="H94" t="s" s="0">
        <v>313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47</v>
      </c>
      <c r="O94" t="s">
        <v>53</v>
      </c>
      <c r="P94" t="s">
        <v>314</v>
      </c>
      <c r="Q94" t="s">
        <v>33</v>
      </c>
      <c r="R94" t="s">
        <v>315</v>
      </c>
      <c r="S94" t="s">
        <v>60</v>
      </c>
      <c r="T94" t="n" s="2">
        <v>8.3</v>
      </c>
      <c r="U94" t="s">
        <v>58</v>
      </c>
      <c r="V94" t="s">
        <v>39</v>
      </c>
      <c r="W94" t="n" s="2">
        <v>0.0</v>
      </c>
    </row>
    <row r="95">
      <c r="A95" t="s" s="0">
        <v>316</v>
      </c>
      <c r="B95" t="s" s="0">
        <v>163</v>
      </c>
      <c r="C95" t="s" s="0">
        <v>317</v>
      </c>
      <c r="D95" t="s" s="0">
        <v>318</v>
      </c>
      <c r="E95" t="s" s="0">
        <v>319</v>
      </c>
      <c r="F95" t="s" s="0">
        <v>320</v>
      </c>
      <c r="G95" t="s" s="0">
        <v>29</v>
      </c>
      <c r="H95" t="s" s="0">
        <v>321</v>
      </c>
      <c r="I95" t="s" s="0">
        <v>106</v>
      </c>
      <c r="J95" t="n" s="2">
        <v>12.5</v>
      </c>
      <c r="K95" t="n" s="2">
        <v>7.0</v>
      </c>
      <c r="L95" t="n" s="2">
        <v>5.5</v>
      </c>
      <c r="M95" s="3">
        <f>IFERROR(K95/J95,0)</f>
      </c>
      <c r="N95" t="s">
        <v>322</v>
      </c>
      <c r="O95" t="s">
        <v>53</v>
      </c>
      <c r="P95" t="s">
        <v>323</v>
      </c>
      <c r="Q95" t="s">
        <v>324</v>
      </c>
      <c r="R95" t="s">
        <v>325</v>
      </c>
      <c r="S95" t="s">
        <v>42</v>
      </c>
      <c r="T95" t="n" s="2">
        <v>14.38</v>
      </c>
      <c r="U95" t="s">
        <v>326</v>
      </c>
      <c r="V95" t="s">
        <v>327</v>
      </c>
      <c r="W95" t="n" s="2">
        <v>1.88</v>
      </c>
    </row>
    <row r="96">
      <c r="A96" t="s" s="0">
        <v>316</v>
      </c>
      <c r="B96" t="s" s="0">
        <v>163</v>
      </c>
      <c r="C96" t="s" s="0">
        <v>317</v>
      </c>
      <c r="D96" t="s" s="0">
        <v>318</v>
      </c>
      <c r="E96" t="s" s="0">
        <v>319</v>
      </c>
      <c r="F96" t="s" s="0">
        <v>320</v>
      </c>
      <c r="G96" t="s" s="0">
        <v>29</v>
      </c>
      <c r="H96" t="s" s="0">
        <v>83</v>
      </c>
      <c r="I96" t="s" s="0">
        <v>106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322</v>
      </c>
      <c r="O96" t="s">
        <v>53</v>
      </c>
      <c r="P96" t="s">
        <v>328</v>
      </c>
      <c r="Q96" t="s">
        <v>33</v>
      </c>
      <c r="R96" t="s">
        <v>329</v>
      </c>
      <c r="S96" t="s">
        <v>49</v>
      </c>
      <c r="T96" t="n" s="2">
        <v>14.38</v>
      </c>
      <c r="U96" t="s">
        <v>326</v>
      </c>
      <c r="V96" t="s">
        <v>39</v>
      </c>
      <c r="W96" t="n" s="2">
        <v>1.88</v>
      </c>
    </row>
    <row r="97">
      <c r="A97" t="s" s="0">
        <v>330</v>
      </c>
      <c r="B97" t="s" s="0">
        <v>163</v>
      </c>
      <c r="C97" t="s" s="0">
        <v>273</v>
      </c>
      <c r="D97" t="s" s="0">
        <v>331</v>
      </c>
      <c r="E97" t="s" s="0">
        <v>332</v>
      </c>
      <c r="F97" t="s" s="0">
        <v>333</v>
      </c>
      <c r="G97" t="s" s="0">
        <v>29</v>
      </c>
      <c r="H97" t="s" s="0">
        <v>334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335</v>
      </c>
      <c r="O97" t="s">
        <v>336</v>
      </c>
      <c r="P97" t="s">
        <v>337</v>
      </c>
      <c r="Q97" t="s">
        <v>33</v>
      </c>
      <c r="R97" t="s">
        <v>338</v>
      </c>
      <c r="S97" t="s">
        <v>32</v>
      </c>
      <c r="T97" t="n" s="2">
        <v>18.25</v>
      </c>
      <c r="U97" t="s">
        <v>339</v>
      </c>
      <c r="V97" t="s">
        <v>39</v>
      </c>
      <c r="W97" t="n" s="2">
        <v>-1.75</v>
      </c>
    </row>
    <row r="98">
      <c r="A98" t="s" s="0">
        <v>330</v>
      </c>
      <c r="B98" t="s" s="0">
        <v>163</v>
      </c>
      <c r="C98" t="s" s="0">
        <v>273</v>
      </c>
      <c r="D98" t="s" s="0">
        <v>331</v>
      </c>
      <c r="E98" t="s" s="0">
        <v>332</v>
      </c>
      <c r="F98" t="s" s="0">
        <v>333</v>
      </c>
      <c r="G98" t="s" s="0">
        <v>99</v>
      </c>
      <c r="H98" t="s" s="0">
        <v>340</v>
      </c>
      <c r="I98" t="s" s="0">
        <v>31</v>
      </c>
      <c r="J98" t="n" s="2">
        <v>13.0</v>
      </c>
      <c r="K98" t="s">
        <v>33</v>
      </c>
      <c r="L98" t="s">
        <v>33</v>
      </c>
      <c r="M98" s="3">
        <f>IFERROR(K98/J98,0)</f>
      </c>
      <c r="N98" t="s">
        <v>335</v>
      </c>
      <c r="O98" t="s">
        <v>336</v>
      </c>
      <c r="P98" t="s">
        <v>341</v>
      </c>
      <c r="Q98" t="s">
        <v>33</v>
      </c>
      <c r="R98" t="s">
        <v>342</v>
      </c>
      <c r="S98" t="s">
        <v>42</v>
      </c>
      <c r="T98" t="n" s="2">
        <v>11.45</v>
      </c>
      <c r="U98" t="s">
        <v>209</v>
      </c>
      <c r="V98" t="s">
        <v>39</v>
      </c>
      <c r="W98" t="n" s="2">
        <v>-1.55</v>
      </c>
    </row>
    <row r="99">
      <c r="A99" t="s" s="0">
        <v>330</v>
      </c>
      <c r="B99" t="s" s="0">
        <v>163</v>
      </c>
      <c r="C99" t="s" s="0">
        <v>273</v>
      </c>
      <c r="D99" t="s" s="0">
        <v>331</v>
      </c>
      <c r="E99" t="s" s="0">
        <v>332</v>
      </c>
      <c r="F99" t="s" s="0">
        <v>333</v>
      </c>
      <c r="G99" t="s" s="0">
        <v>29</v>
      </c>
      <c r="H99" t="s" s="0">
        <v>343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335</v>
      </c>
      <c r="O99" t="s">
        <v>336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330</v>
      </c>
      <c r="B100" t="s" s="0">
        <v>163</v>
      </c>
      <c r="C100" t="s" s="0">
        <v>273</v>
      </c>
      <c r="D100" t="s" s="0">
        <v>331</v>
      </c>
      <c r="E100" t="s" s="0">
        <v>332</v>
      </c>
      <c r="F100" t="s" s="0">
        <v>333</v>
      </c>
      <c r="G100" t="s" s="0">
        <v>312</v>
      </c>
      <c r="H100" t="s" s="0">
        <v>344</v>
      </c>
      <c r="I100" t="s" s="0">
        <v>31</v>
      </c>
      <c r="J100" t="n" s="2">
        <v>13.5</v>
      </c>
      <c r="K100" t="n" s="2">
        <v>6.5</v>
      </c>
      <c r="L100" t="n" s="2">
        <v>7.0</v>
      </c>
      <c r="M100" s="3">
        <f>IFERROR(K100/J100,0)</f>
      </c>
      <c r="N100" t="s">
        <v>335</v>
      </c>
      <c r="O100" t="s">
        <v>336</v>
      </c>
      <c r="P100" t="s">
        <v>345</v>
      </c>
      <c r="Q100" t="s">
        <v>346</v>
      </c>
      <c r="R100" t="s">
        <v>347</v>
      </c>
      <c r="S100" t="s">
        <v>49</v>
      </c>
      <c r="T100" t="n" s="2">
        <v>12.0</v>
      </c>
      <c r="U100" t="s">
        <v>348</v>
      </c>
      <c r="V100" t="s">
        <v>349</v>
      </c>
      <c r="W100" t="n" s="2">
        <v>-1.5</v>
      </c>
    </row>
    <row r="101">
      <c r="A101" t="s" s="0">
        <v>330</v>
      </c>
      <c r="B101" t="s" s="0">
        <v>163</v>
      </c>
      <c r="C101" t="s" s="0">
        <v>273</v>
      </c>
      <c r="D101" t="s" s="0">
        <v>331</v>
      </c>
      <c r="E101" t="s" s="0">
        <v>332</v>
      </c>
      <c r="F101" t="s" s="0">
        <v>333</v>
      </c>
      <c r="G101" t="s" s="0">
        <v>76</v>
      </c>
      <c r="H101" t="s" s="0">
        <v>350</v>
      </c>
      <c r="I101" t="s" s="0">
        <v>31</v>
      </c>
      <c r="J101" t="n" s="2">
        <v>14.2</v>
      </c>
      <c r="K101" t="n" s="2">
        <v>6.8</v>
      </c>
      <c r="L101" t="n" s="2">
        <v>7.4</v>
      </c>
      <c r="M101" s="3">
        <f>IFERROR(K101/J101,0)</f>
      </c>
      <c r="N101" t="s">
        <v>335</v>
      </c>
      <c r="O101" t="s">
        <v>336</v>
      </c>
      <c r="P101" t="s">
        <v>351</v>
      </c>
      <c r="Q101" t="s">
        <v>352</v>
      </c>
      <c r="R101" t="s">
        <v>353</v>
      </c>
      <c r="S101" t="s">
        <v>51</v>
      </c>
      <c r="T101" t="n" s="2">
        <v>13.3</v>
      </c>
      <c r="U101" t="s">
        <v>354</v>
      </c>
      <c r="V101" t="s">
        <v>228</v>
      </c>
      <c r="W101" t="n" s="2">
        <v>-0.9</v>
      </c>
    </row>
    <row r="102">
      <c r="A102" t="s" s="0">
        <v>330</v>
      </c>
      <c r="B102" t="s" s="0">
        <v>163</v>
      </c>
      <c r="C102" t="s" s="0">
        <v>273</v>
      </c>
      <c r="D102" t="s" s="0">
        <v>331</v>
      </c>
      <c r="E102" t="s" s="0">
        <v>332</v>
      </c>
      <c r="F102" t="s" s="0">
        <v>333</v>
      </c>
      <c r="G102" t="s" s="0">
        <v>76</v>
      </c>
      <c r="H102" t="s" s="0">
        <v>355</v>
      </c>
      <c r="I102" t="s" s="0">
        <v>31</v>
      </c>
      <c r="J102" t="n" s="2">
        <v>14.0</v>
      </c>
      <c r="K102" t="n" s="2">
        <v>7.0</v>
      </c>
      <c r="L102" t="n" s="2">
        <v>7.0</v>
      </c>
      <c r="M102" s="3">
        <f>IFERROR(K102/J102,0)</f>
      </c>
      <c r="N102" t="s">
        <v>335</v>
      </c>
      <c r="O102" t="s">
        <v>336</v>
      </c>
      <c r="P102" t="s">
        <v>356</v>
      </c>
      <c r="Q102" t="s">
        <v>357</v>
      </c>
      <c r="R102" t="s">
        <v>358</v>
      </c>
      <c r="S102" t="s">
        <v>53</v>
      </c>
      <c r="T102" t="n" s="2">
        <v>13.3</v>
      </c>
      <c r="U102" t="s">
        <v>359</v>
      </c>
      <c r="V102" t="s">
        <v>360</v>
      </c>
      <c r="W102" t="n" s="2">
        <v>-0.7</v>
      </c>
    </row>
    <row r="103">
      <c r="A103" t="s" s="0">
        <v>330</v>
      </c>
      <c r="B103" t="s" s="0">
        <v>163</v>
      </c>
      <c r="C103" t="s" s="0">
        <v>273</v>
      </c>
      <c r="D103" t="s" s="0">
        <v>331</v>
      </c>
      <c r="E103" t="s" s="0">
        <v>332</v>
      </c>
      <c r="F103" t="s" s="0">
        <v>333</v>
      </c>
      <c r="G103" t="s" s="0">
        <v>29</v>
      </c>
      <c r="H103" t="s" s="0">
        <v>54</v>
      </c>
      <c r="I103" t="s" s="0">
        <v>106</v>
      </c>
      <c r="J103" t="n" s="2">
        <v>14.5</v>
      </c>
      <c r="K103" t="n" s="2">
        <v>8.0</v>
      </c>
      <c r="L103" t="n" s="2">
        <v>6.5</v>
      </c>
      <c r="M103" s="3">
        <f>IFERROR(K103/J103,0)</f>
      </c>
      <c r="N103" t="s">
        <v>335</v>
      </c>
      <c r="O103" t="s">
        <v>336</v>
      </c>
      <c r="P103" t="s">
        <v>361</v>
      </c>
      <c r="Q103" t="s">
        <v>361</v>
      </c>
      <c r="R103" t="s">
        <v>362</v>
      </c>
      <c r="S103" t="s">
        <v>55</v>
      </c>
      <c r="T103" t="n" s="2">
        <v>18.25</v>
      </c>
      <c r="U103" t="s">
        <v>363</v>
      </c>
      <c r="V103" t="s">
        <v>364</v>
      </c>
      <c r="W103" t="n" s="2">
        <v>3.75</v>
      </c>
    </row>
    <row r="104">
      <c r="A104" t="s" s="0">
        <v>330</v>
      </c>
      <c r="B104" t="s" s="0">
        <v>163</v>
      </c>
      <c r="C104" t="s" s="0">
        <v>273</v>
      </c>
      <c r="D104" t="s" s="0">
        <v>331</v>
      </c>
      <c r="E104" t="s" s="0">
        <v>332</v>
      </c>
      <c r="F104" t="s" s="0">
        <v>333</v>
      </c>
      <c r="G104" t="s" s="0">
        <v>29</v>
      </c>
      <c r="H104" t="s" s="0">
        <v>61</v>
      </c>
      <c r="I104" t="s" s="0">
        <v>31</v>
      </c>
      <c r="J104" t="n" s="2">
        <v>15.5</v>
      </c>
      <c r="K104" t="s">
        <v>33</v>
      </c>
      <c r="L104" t="s">
        <v>33</v>
      </c>
      <c r="M104" s="3">
        <f>IFERROR(K104/J104,0)</f>
      </c>
      <c r="N104" t="s">
        <v>335</v>
      </c>
      <c r="O104" t="s">
        <v>336</v>
      </c>
      <c r="P104" t="s">
        <v>365</v>
      </c>
      <c r="Q104" t="s">
        <v>33</v>
      </c>
      <c r="R104" t="s">
        <v>366</v>
      </c>
      <c r="S104" t="s">
        <v>60</v>
      </c>
      <c r="T104" t="n" s="2">
        <v>18.25</v>
      </c>
      <c r="U104" t="s">
        <v>367</v>
      </c>
      <c r="V104" t="s">
        <v>39</v>
      </c>
      <c r="W104" t="n" s="2">
        <v>2.75</v>
      </c>
    </row>
    <row r="105">
      <c r="A105" t="s" s="0">
        <v>330</v>
      </c>
      <c r="B105" t="s" s="0">
        <v>163</v>
      </c>
      <c r="C105" t="s" s="0">
        <v>273</v>
      </c>
      <c r="D105" t="s" s="0">
        <v>331</v>
      </c>
      <c r="E105" t="s" s="0">
        <v>332</v>
      </c>
      <c r="F105" t="s" s="0">
        <v>333</v>
      </c>
      <c r="G105" t="s" s="0">
        <v>253</v>
      </c>
      <c r="H105" t="s" s="0">
        <v>368</v>
      </c>
      <c r="I105" t="s" s="0">
        <v>31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335</v>
      </c>
      <c r="O105" t="s">
        <v>336</v>
      </c>
      <c r="P105" t="s">
        <v>369</v>
      </c>
      <c r="Q105" t="s">
        <v>33</v>
      </c>
      <c r="R105" t="s">
        <v>370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330</v>
      </c>
      <c r="B106" t="s" s="0">
        <v>163</v>
      </c>
      <c r="C106" t="s" s="0">
        <v>273</v>
      </c>
      <c r="D106" t="s" s="0">
        <v>331</v>
      </c>
      <c r="E106" t="s" s="0">
        <v>332</v>
      </c>
      <c r="F106" t="s" s="0">
        <v>333</v>
      </c>
      <c r="G106" t="s" s="0">
        <v>29</v>
      </c>
      <c r="H106" t="s" s="0">
        <v>371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335</v>
      </c>
      <c r="O106" t="s">
        <v>336</v>
      </c>
      <c r="P106" t="s">
        <v>372</v>
      </c>
      <c r="Q106" t="s">
        <v>33</v>
      </c>
      <c r="R106" t="s">
        <v>373</v>
      </c>
      <c r="S106" t="s">
        <v>67</v>
      </c>
      <c r="T106" t="n" s="2">
        <v>18.25</v>
      </c>
      <c r="U106" t="s">
        <v>374</v>
      </c>
      <c r="V106" t="s">
        <v>39</v>
      </c>
      <c r="W106" t="n" s="2">
        <v>2.25</v>
      </c>
    </row>
    <row r="107">
      <c r="A107" t="s" s="0">
        <v>330</v>
      </c>
      <c r="B107" t="s" s="0">
        <v>163</v>
      </c>
      <c r="C107" t="s" s="0">
        <v>273</v>
      </c>
      <c r="D107" t="s" s="0">
        <v>331</v>
      </c>
      <c r="E107" t="s" s="0">
        <v>332</v>
      </c>
      <c r="F107" t="s" s="0">
        <v>333</v>
      </c>
      <c r="G107" t="s" s="0">
        <v>29</v>
      </c>
      <c r="H107" t="s" s="0">
        <v>375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335</v>
      </c>
      <c r="O107" t="s">
        <v>336</v>
      </c>
      <c r="P107" t="s">
        <v>376</v>
      </c>
      <c r="Q107" t="s">
        <v>33</v>
      </c>
      <c r="R107" t="s">
        <v>377</v>
      </c>
      <c r="S107" t="s">
        <v>69</v>
      </c>
      <c r="T107" t="n" s="2">
        <v>18.25</v>
      </c>
      <c r="U107" t="s">
        <v>378</v>
      </c>
      <c r="V107" t="s">
        <v>39</v>
      </c>
      <c r="W107" t="n" s="2">
        <v>-4.75</v>
      </c>
    </row>
    <row r="108">
      <c r="A108" t="s" s="0">
        <v>330</v>
      </c>
      <c r="B108" t="s" s="0">
        <v>163</v>
      </c>
      <c r="C108" t="s" s="0">
        <v>273</v>
      </c>
      <c r="D108" t="s" s="0">
        <v>331</v>
      </c>
      <c r="E108" t="s" s="0">
        <v>332</v>
      </c>
      <c r="F108" t="s" s="0">
        <v>333</v>
      </c>
      <c r="G108" t="s" s="0">
        <v>29</v>
      </c>
      <c r="H108" t="s" s="0">
        <v>379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335</v>
      </c>
      <c r="O108" t="s">
        <v>336</v>
      </c>
      <c r="P108" t="s">
        <v>380</v>
      </c>
      <c r="Q108" t="s">
        <v>33</v>
      </c>
      <c r="R108" t="s">
        <v>381</v>
      </c>
      <c r="S108" t="s">
        <v>34</v>
      </c>
      <c r="T108" t="n" s="2">
        <v>18.25</v>
      </c>
      <c r="U108" t="s">
        <v>339</v>
      </c>
      <c r="V108" t="s">
        <v>39</v>
      </c>
      <c r="W108" t="n" s="2">
        <v>-1.75</v>
      </c>
    </row>
    <row r="109">
      <c r="A109" t="s" s="0">
        <v>382</v>
      </c>
      <c r="B109" t="s" s="0">
        <v>24</v>
      </c>
      <c r="C109" t="s" s="0">
        <v>383</v>
      </c>
      <c r="D109" t="s" s="0">
        <v>384</v>
      </c>
      <c r="E109" t="s" s="0">
        <v>385</v>
      </c>
      <c r="F109" t="s" s="0">
        <v>386</v>
      </c>
      <c r="G109" t="s" s="0">
        <v>387</v>
      </c>
      <c r="H109" t="s" s="0">
        <v>388</v>
      </c>
      <c r="I109" t="s" s="0">
        <v>124</v>
      </c>
      <c r="J109" t="n" s="2">
        <v>6.6</v>
      </c>
      <c r="K109" t="n" s="2">
        <v>3.8</v>
      </c>
      <c r="L109" t="n" s="2">
        <v>2.8</v>
      </c>
      <c r="M109" s="3">
        <f>IFERROR(K109/J109,0)</f>
      </c>
      <c r="N109" t="s">
        <v>62</v>
      </c>
      <c r="O109" t="s">
        <v>69</v>
      </c>
      <c r="P109" t="s">
        <v>389</v>
      </c>
      <c r="Q109" t="s">
        <v>390</v>
      </c>
      <c r="R109" t="s">
        <v>391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382</v>
      </c>
      <c r="B110" t="s" s="0">
        <v>24</v>
      </c>
      <c r="C110" t="s" s="0">
        <v>383</v>
      </c>
      <c r="D110" t="s" s="0">
        <v>384</v>
      </c>
      <c r="E110" t="s" s="0">
        <v>385</v>
      </c>
      <c r="F110" t="s" s="0">
        <v>386</v>
      </c>
      <c r="G110" t="s" s="0">
        <v>392</v>
      </c>
      <c r="H110" t="s" s="0">
        <v>393</v>
      </c>
      <c r="I110" t="s" s="0">
        <v>252</v>
      </c>
      <c r="J110" t="n" s="2">
        <v>7.0</v>
      </c>
      <c r="K110" t="n" s="2">
        <v>4.5</v>
      </c>
      <c r="L110" t="n" s="2">
        <v>2.5</v>
      </c>
      <c r="M110" s="3">
        <f>IFERROR(K110/J110,0)</f>
      </c>
      <c r="N110" t="s">
        <v>62</v>
      </c>
      <c r="O110" t="s">
        <v>69</v>
      </c>
      <c r="P110" t="s">
        <v>394</v>
      </c>
      <c r="Q110" t="s">
        <v>395</v>
      </c>
      <c r="R110" t="s">
        <v>396</v>
      </c>
      <c r="S110" t="s">
        <v>49</v>
      </c>
      <c r="T110" t="n" s="2">
        <v>7.95</v>
      </c>
      <c r="U110" t="s">
        <v>397</v>
      </c>
      <c r="V110" t="s">
        <v>398</v>
      </c>
      <c r="W110" t="n" s="2">
        <v>0.95</v>
      </c>
    </row>
    <row r="111">
      <c r="A111" t="s" s="0">
        <v>382</v>
      </c>
      <c r="B111" t="s" s="0">
        <v>24</v>
      </c>
      <c r="C111" t="s" s="0">
        <v>383</v>
      </c>
      <c r="D111" t="s" s="0">
        <v>384</v>
      </c>
      <c r="E111" t="s" s="0">
        <v>385</v>
      </c>
      <c r="F111" t="s" s="0">
        <v>386</v>
      </c>
      <c r="G111" t="s" s="0">
        <v>392</v>
      </c>
      <c r="H111" t="s" s="0">
        <v>399</v>
      </c>
      <c r="I111" t="s" s="0">
        <v>252</v>
      </c>
      <c r="J111" t="s" s="0">
        <v>33</v>
      </c>
      <c r="K111" t="n" s="2">
        <v>4.7</v>
      </c>
      <c r="L111" t="s">
        <v>33</v>
      </c>
      <c r="M111" s="3">
        <f>IFERROR(K111/J111,0)</f>
      </c>
      <c r="N111" t="s">
        <v>62</v>
      </c>
      <c r="O111" t="s">
        <v>69</v>
      </c>
      <c r="P111" t="s">
        <v>33</v>
      </c>
      <c r="Q111" t="s">
        <v>400</v>
      </c>
      <c r="R111" t="s">
        <v>33</v>
      </c>
      <c r="S111" t="s">
        <v>51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382</v>
      </c>
      <c r="B112" t="s" s="0">
        <v>24</v>
      </c>
      <c r="C112" t="s" s="0">
        <v>383</v>
      </c>
      <c r="D112" t="s" s="0">
        <v>384</v>
      </c>
      <c r="E112" t="s" s="0">
        <v>385</v>
      </c>
      <c r="F112" t="s" s="0">
        <v>386</v>
      </c>
      <c r="G112" t="s" s="0">
        <v>99</v>
      </c>
      <c r="H112" t="s" s="0">
        <v>401</v>
      </c>
      <c r="I112" t="s" s="0">
        <v>31</v>
      </c>
      <c r="J112" t="n" s="2">
        <v>8.0</v>
      </c>
      <c r="K112" t="s">
        <v>33</v>
      </c>
      <c r="L112" t="s">
        <v>33</v>
      </c>
      <c r="M112" s="3">
        <f>IFERROR(K112/J112,0)</f>
      </c>
      <c r="N112" t="s">
        <v>62</v>
      </c>
      <c r="O112" t="s">
        <v>69</v>
      </c>
      <c r="P112" t="s">
        <v>402</v>
      </c>
      <c r="Q112" t="s">
        <v>33</v>
      </c>
      <c r="R112" t="s">
        <v>403</v>
      </c>
      <c r="S112" t="s">
        <v>53</v>
      </c>
      <c r="T112" t="n" s="2">
        <v>8.3</v>
      </c>
      <c r="U112" t="s">
        <v>404</v>
      </c>
      <c r="V112" t="s">
        <v>39</v>
      </c>
      <c r="W112" t="n" s="2">
        <v>0.3</v>
      </c>
    </row>
    <row r="113">
      <c r="A113" t="s" s="0">
        <v>382</v>
      </c>
      <c r="B113" t="s" s="0">
        <v>24</v>
      </c>
      <c r="C113" t="s" s="0">
        <v>383</v>
      </c>
      <c r="D113" t="s" s="0">
        <v>384</v>
      </c>
      <c r="E113" t="s" s="0">
        <v>385</v>
      </c>
      <c r="F113" t="s" s="0">
        <v>386</v>
      </c>
      <c r="G113" t="s" s="0">
        <v>99</v>
      </c>
      <c r="H113" t="s" s="0">
        <v>405</v>
      </c>
      <c r="I113" t="s" s="0">
        <v>31</v>
      </c>
      <c r="J113" t="s" s="0">
        <v>33</v>
      </c>
      <c r="K113" t="n" s="2">
        <v>5.0</v>
      </c>
      <c r="L113" t="s">
        <v>33</v>
      </c>
      <c r="M113" s="3">
        <f>IFERROR(K113/J113,0)</f>
      </c>
      <c r="N113" t="s">
        <v>62</v>
      </c>
      <c r="O113" t="s">
        <v>69</v>
      </c>
      <c r="P113" t="s">
        <v>33</v>
      </c>
      <c r="Q113" t="s">
        <v>406</v>
      </c>
      <c r="R113" t="s">
        <v>33</v>
      </c>
      <c r="S113" t="s">
        <v>55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382</v>
      </c>
      <c r="B114" t="s" s="0">
        <v>24</v>
      </c>
      <c r="C114" t="s" s="0">
        <v>383</v>
      </c>
      <c r="D114" t="s" s="0">
        <v>384</v>
      </c>
      <c r="E114" t="s" s="0">
        <v>385</v>
      </c>
      <c r="F114" t="s" s="0">
        <v>386</v>
      </c>
      <c r="G114" t="s" s="0">
        <v>76</v>
      </c>
      <c r="H114" t="s" s="0">
        <v>407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62</v>
      </c>
      <c r="O114" t="s">
        <v>69</v>
      </c>
      <c r="P114" t="s">
        <v>33</v>
      </c>
      <c r="Q114" t="s">
        <v>33</v>
      </c>
      <c r="R114" t="s">
        <v>33</v>
      </c>
      <c r="S114" t="s">
        <v>60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408</v>
      </c>
      <c r="B115" t="s" s="0">
        <v>24</v>
      </c>
      <c r="C115" t="s" s="0">
        <v>92</v>
      </c>
      <c r="D115" t="s" s="0">
        <v>409</v>
      </c>
      <c r="E115" t="s" s="0">
        <v>410</v>
      </c>
      <c r="F115" t="s" s="0">
        <v>411</v>
      </c>
      <c r="G115" t="s" s="0">
        <v>76</v>
      </c>
      <c r="H115" t="s" s="0">
        <v>412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133</v>
      </c>
      <c r="O115" t="s">
        <v>55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408</v>
      </c>
      <c r="B116" t="s" s="0">
        <v>24</v>
      </c>
      <c r="C116" t="s" s="0">
        <v>92</v>
      </c>
      <c r="D116" t="s" s="0">
        <v>409</v>
      </c>
      <c r="E116" t="s" s="0">
        <v>410</v>
      </c>
      <c r="F116" t="s" s="0">
        <v>411</v>
      </c>
      <c r="G116" t="s" s="0">
        <v>76</v>
      </c>
      <c r="H116" t="s" s="0">
        <v>413</v>
      </c>
      <c r="I116" t="s" s="0">
        <v>31</v>
      </c>
      <c r="J116" t="n" s="2">
        <v>13.5</v>
      </c>
      <c r="K116" t="n" s="2">
        <v>7.0</v>
      </c>
      <c r="L116" t="n" s="2">
        <v>6.5</v>
      </c>
      <c r="M116" s="3">
        <f>IFERROR(K116/J116,0)</f>
      </c>
      <c r="N116" t="s">
        <v>133</v>
      </c>
      <c r="O116" t="s">
        <v>55</v>
      </c>
      <c r="P116" t="s">
        <v>414</v>
      </c>
      <c r="Q116" t="s">
        <v>414</v>
      </c>
      <c r="R116" t="s">
        <v>415</v>
      </c>
      <c r="S116" t="s">
        <v>47</v>
      </c>
      <c r="T116" t="n" s="2">
        <v>11.35</v>
      </c>
      <c r="U116" t="s">
        <v>416</v>
      </c>
      <c r="V116" t="s">
        <v>417</v>
      </c>
      <c r="W116" t="n" s="2">
        <v>-2.15</v>
      </c>
    </row>
    <row r="117">
      <c r="A117" t="s" s="0">
        <v>408</v>
      </c>
      <c r="B117" t="s" s="0">
        <v>24</v>
      </c>
      <c r="C117" t="s" s="0">
        <v>92</v>
      </c>
      <c r="D117" t="s" s="0">
        <v>409</v>
      </c>
      <c r="E117" t="s" s="0">
        <v>410</v>
      </c>
      <c r="F117" t="s" s="0">
        <v>411</v>
      </c>
      <c r="G117" t="s" s="0">
        <v>99</v>
      </c>
      <c r="H117" t="s" s="0">
        <v>418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133</v>
      </c>
      <c r="O117" t="s">
        <v>55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408</v>
      </c>
      <c r="B118" t="s" s="0">
        <v>24</v>
      </c>
      <c r="C118" t="s" s="0">
        <v>92</v>
      </c>
      <c r="D118" t="s" s="0">
        <v>409</v>
      </c>
      <c r="E118" t="s" s="0">
        <v>410</v>
      </c>
      <c r="F118" t="s" s="0">
        <v>411</v>
      </c>
      <c r="G118" t="s" s="0">
        <v>99</v>
      </c>
      <c r="H118" t="s" s="0">
        <v>419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133</v>
      </c>
      <c r="O118" t="s">
        <v>55</v>
      </c>
      <c r="P118" t="s">
        <v>33</v>
      </c>
      <c r="Q118" t="s">
        <v>33</v>
      </c>
      <c r="R118" t="s">
        <v>33</v>
      </c>
      <c r="S118" t="s">
        <v>51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408</v>
      </c>
      <c r="B119" t="s" s="0">
        <v>24</v>
      </c>
      <c r="C119" t="s" s="0">
        <v>92</v>
      </c>
      <c r="D119" t="s" s="0">
        <v>409</v>
      </c>
      <c r="E119" t="s" s="0">
        <v>410</v>
      </c>
      <c r="F119" t="s" s="0">
        <v>411</v>
      </c>
      <c r="G119" t="s" s="0">
        <v>76</v>
      </c>
      <c r="H119" t="s" s="0">
        <v>420</v>
      </c>
      <c r="I119" t="s" s="0">
        <v>31</v>
      </c>
      <c r="J119" t="n" s="2">
        <v>13.0</v>
      </c>
      <c r="K119" t="s">
        <v>33</v>
      </c>
      <c r="L119" t="s">
        <v>33</v>
      </c>
      <c r="M119" s="3">
        <f>IFERROR(K119/J119,0)</f>
      </c>
      <c r="N119" t="s">
        <v>133</v>
      </c>
      <c r="O119" t="s">
        <v>55</v>
      </c>
      <c r="P119" t="s">
        <v>421</v>
      </c>
      <c r="Q119" t="s">
        <v>33</v>
      </c>
      <c r="R119" t="s">
        <v>422</v>
      </c>
      <c r="S119" t="s">
        <v>53</v>
      </c>
      <c r="T119" t="n" s="2">
        <v>11.35</v>
      </c>
      <c r="U119" t="s">
        <v>423</v>
      </c>
      <c r="V119" t="s">
        <v>39</v>
      </c>
      <c r="W119" t="n" s="2">
        <v>-1.65</v>
      </c>
    </row>
    <row r="120">
      <c r="A120" t="s" s="0">
        <v>408</v>
      </c>
      <c r="B120" t="s" s="0">
        <v>24</v>
      </c>
      <c r="C120" t="s" s="0">
        <v>92</v>
      </c>
      <c r="D120" t="s" s="0">
        <v>409</v>
      </c>
      <c r="E120" t="s" s="0">
        <v>410</v>
      </c>
      <c r="F120" t="s" s="0">
        <v>411</v>
      </c>
      <c r="G120" t="s" s="0">
        <v>76</v>
      </c>
      <c r="H120" t="s" s="0">
        <v>424</v>
      </c>
      <c r="I120" t="s" s="0">
        <v>31</v>
      </c>
      <c r="J120" t="n" s="2">
        <v>13.0</v>
      </c>
      <c r="K120" t="n" s="2">
        <v>7.0</v>
      </c>
      <c r="L120" t="n" s="2">
        <v>6.0</v>
      </c>
      <c r="M120" s="3">
        <f>IFERROR(K120/J120,0)</f>
      </c>
      <c r="N120" t="s">
        <v>133</v>
      </c>
      <c r="O120" t="s">
        <v>55</v>
      </c>
      <c r="P120" t="s">
        <v>425</v>
      </c>
      <c r="Q120" t="s">
        <v>426</v>
      </c>
      <c r="R120" t="s">
        <v>427</v>
      </c>
      <c r="S120" t="s">
        <v>55</v>
      </c>
      <c r="T120" t="n" s="2">
        <v>11.35</v>
      </c>
      <c r="U120" t="s">
        <v>423</v>
      </c>
      <c r="V120" t="s">
        <v>428</v>
      </c>
      <c r="W120" t="n" s="2">
        <v>-1.65</v>
      </c>
    </row>
    <row r="121">
      <c r="A121" t="s" s="0">
        <v>408</v>
      </c>
      <c r="B121" t="s" s="0">
        <v>24</v>
      </c>
      <c r="C121" t="s" s="0">
        <v>92</v>
      </c>
      <c r="D121" t="s" s="0">
        <v>409</v>
      </c>
      <c r="E121" t="s" s="0">
        <v>410</v>
      </c>
      <c r="F121" t="s" s="0">
        <v>411</v>
      </c>
      <c r="G121" t="s" s="0">
        <v>29</v>
      </c>
      <c r="H121" t="s" s="0">
        <v>429</v>
      </c>
      <c r="I121" t="s" s="0">
        <v>31</v>
      </c>
      <c r="J121" t="n" s="2">
        <v>13.5</v>
      </c>
      <c r="K121" t="s">
        <v>33</v>
      </c>
      <c r="L121" t="s">
        <v>33</v>
      </c>
      <c r="M121" s="3">
        <f>IFERROR(K121/J121,0)</f>
      </c>
      <c r="N121" t="s">
        <v>133</v>
      </c>
      <c r="O121" t="s">
        <v>55</v>
      </c>
      <c r="P121" t="s">
        <v>430</v>
      </c>
      <c r="Q121" t="s">
        <v>33</v>
      </c>
      <c r="R121" t="s">
        <v>431</v>
      </c>
      <c r="S121" t="s">
        <v>60</v>
      </c>
      <c r="T121" t="n" s="2">
        <v>12.5</v>
      </c>
      <c r="U121" t="s">
        <v>432</v>
      </c>
      <c r="V121" t="s">
        <v>39</v>
      </c>
      <c r="W121" t="n" s="2">
        <v>-1.0</v>
      </c>
    </row>
    <row r="122">
      <c r="A122" t="s" s="0">
        <v>408</v>
      </c>
      <c r="B122" t="s" s="0">
        <v>24</v>
      </c>
      <c r="C122" t="s" s="0">
        <v>92</v>
      </c>
      <c r="D122" t="s" s="0">
        <v>409</v>
      </c>
      <c r="E122" t="s" s="0">
        <v>410</v>
      </c>
      <c r="F122" t="s" s="0">
        <v>411</v>
      </c>
      <c r="G122" t="s" s="0">
        <v>99</v>
      </c>
      <c r="H122" t="s" s="0">
        <v>433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133</v>
      </c>
      <c r="O122" t="s">
        <v>55</v>
      </c>
      <c r="P122" t="s">
        <v>33</v>
      </c>
      <c r="Q122" t="s">
        <v>33</v>
      </c>
      <c r="R122" t="s">
        <v>33</v>
      </c>
      <c r="S122" t="s">
        <v>69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434</v>
      </c>
      <c r="B123" t="s" s="0">
        <v>24</v>
      </c>
      <c r="C123" t="s" s="0">
        <v>383</v>
      </c>
      <c r="D123" t="s" s="0">
        <v>435</v>
      </c>
      <c r="E123" t="s" s="0">
        <v>436</v>
      </c>
      <c r="F123" t="s" s="0">
        <v>437</v>
      </c>
      <c r="G123" t="s" s="0">
        <v>29</v>
      </c>
      <c r="H123" t="s" s="0">
        <v>438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439</v>
      </c>
      <c r="O123" t="s">
        <v>49</v>
      </c>
      <c r="P123" t="s">
        <v>440</v>
      </c>
      <c r="Q123" t="s">
        <v>33</v>
      </c>
      <c r="R123" t="s">
        <v>33</v>
      </c>
      <c r="S123" t="s">
        <v>32</v>
      </c>
      <c r="T123" t="n" s="2">
        <v>12.74</v>
      </c>
      <c r="U123" t="s">
        <v>441</v>
      </c>
      <c r="V123" t="s">
        <v>39</v>
      </c>
      <c r="W123" t="n" s="2">
        <v>-0.26</v>
      </c>
    </row>
    <row r="124">
      <c r="A124" t="s" s="0">
        <v>434</v>
      </c>
      <c r="B124" t="s" s="0">
        <v>24</v>
      </c>
      <c r="C124" t="s" s="0">
        <v>383</v>
      </c>
      <c r="D124" t="s" s="0">
        <v>435</v>
      </c>
      <c r="E124" t="s" s="0">
        <v>436</v>
      </c>
      <c r="F124" t="s" s="0">
        <v>437</v>
      </c>
      <c r="G124" t="s" s="0">
        <v>29</v>
      </c>
      <c r="H124" t="s" s="0">
        <v>442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439</v>
      </c>
      <c r="O124" t="s">
        <v>49</v>
      </c>
      <c r="P124" t="s">
        <v>443</v>
      </c>
      <c r="Q124" t="s">
        <v>33</v>
      </c>
      <c r="R124" t="s">
        <v>444</v>
      </c>
      <c r="S124" t="s">
        <v>47</v>
      </c>
      <c r="T124" t="n" s="2">
        <v>12.74</v>
      </c>
      <c r="U124" t="s">
        <v>445</v>
      </c>
      <c r="V124" t="s">
        <v>39</v>
      </c>
      <c r="W124" t="n" s="2">
        <v>-3.26</v>
      </c>
    </row>
    <row r="125">
      <c r="A125" t="s" s="0">
        <v>434</v>
      </c>
      <c r="B125" t="s" s="0">
        <v>24</v>
      </c>
      <c r="C125" t="s" s="0">
        <v>383</v>
      </c>
      <c r="D125" t="s" s="0">
        <v>435</v>
      </c>
      <c r="E125" t="s" s="0">
        <v>436</v>
      </c>
      <c r="F125" t="s" s="0">
        <v>437</v>
      </c>
      <c r="G125" t="s" s="0">
        <v>99</v>
      </c>
      <c r="H125" t="s" s="0">
        <v>446</v>
      </c>
      <c r="I125" t="s" s="0">
        <v>31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439</v>
      </c>
      <c r="O125" t="s">
        <v>49</v>
      </c>
      <c r="P125" t="s">
        <v>447</v>
      </c>
      <c r="Q125" t="s">
        <v>33</v>
      </c>
      <c r="R125" t="s">
        <v>448</v>
      </c>
      <c r="S125" t="s">
        <v>49</v>
      </c>
      <c r="T125" t="n" s="2">
        <v>9.78</v>
      </c>
      <c r="U125" t="s">
        <v>449</v>
      </c>
      <c r="V125" t="s">
        <v>39</v>
      </c>
      <c r="W125" t="n" s="2">
        <v>-2.22</v>
      </c>
    </row>
    <row r="126">
      <c r="A126" t="s" s="0">
        <v>434</v>
      </c>
      <c r="B126" t="s" s="0">
        <v>24</v>
      </c>
      <c r="C126" t="s" s="0">
        <v>383</v>
      </c>
      <c r="D126" t="s" s="0">
        <v>435</v>
      </c>
      <c r="E126" t="s" s="0">
        <v>436</v>
      </c>
      <c r="F126" t="s" s="0">
        <v>437</v>
      </c>
      <c r="G126" t="s" s="0">
        <v>29</v>
      </c>
      <c r="H126" t="s" s="0">
        <v>450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439</v>
      </c>
      <c r="O126" t="s">
        <v>49</v>
      </c>
      <c r="P126" t="s">
        <v>33</v>
      </c>
      <c r="Q126" t="s">
        <v>33</v>
      </c>
      <c r="R126" t="s">
        <v>33</v>
      </c>
      <c r="S126" t="s">
        <v>129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434</v>
      </c>
      <c r="B127" t="s" s="0">
        <v>24</v>
      </c>
      <c r="C127" t="s" s="0">
        <v>383</v>
      </c>
      <c r="D127" t="s" s="0">
        <v>435</v>
      </c>
      <c r="E127" t="s" s="0">
        <v>436</v>
      </c>
      <c r="F127" t="s" s="0">
        <v>437</v>
      </c>
      <c r="G127" t="s" s="0">
        <v>99</v>
      </c>
      <c r="H127" t="s" s="0">
        <v>451</v>
      </c>
      <c r="I127" t="s" s="0">
        <v>31</v>
      </c>
      <c r="J127" t="n" s="2">
        <v>11.5</v>
      </c>
      <c r="K127" t="s">
        <v>33</v>
      </c>
      <c r="L127" t="s">
        <v>33</v>
      </c>
      <c r="M127" s="3">
        <f>IFERROR(K127/J127,0)</f>
      </c>
      <c r="N127" t="s">
        <v>439</v>
      </c>
      <c r="O127" t="s">
        <v>49</v>
      </c>
      <c r="P127" t="s">
        <v>452</v>
      </c>
      <c r="Q127" t="s">
        <v>33</v>
      </c>
      <c r="R127" t="s">
        <v>453</v>
      </c>
      <c r="S127" t="s">
        <v>51</v>
      </c>
      <c r="T127" t="n" s="2">
        <v>9.78</v>
      </c>
      <c r="U127" t="s">
        <v>454</v>
      </c>
      <c r="V127" t="s">
        <v>39</v>
      </c>
      <c r="W127" t="n" s="2">
        <v>-1.72</v>
      </c>
    </row>
    <row r="128">
      <c r="A128" t="s" s="0">
        <v>434</v>
      </c>
      <c r="B128" t="s" s="0">
        <v>24</v>
      </c>
      <c r="C128" t="s" s="0">
        <v>383</v>
      </c>
      <c r="D128" t="s" s="0">
        <v>435</v>
      </c>
      <c r="E128" t="s" s="0">
        <v>436</v>
      </c>
      <c r="F128" t="s" s="0">
        <v>437</v>
      </c>
      <c r="G128" t="s" s="0">
        <v>76</v>
      </c>
      <c r="H128" t="s" s="0">
        <v>455</v>
      </c>
      <c r="I128" t="s" s="0">
        <v>31</v>
      </c>
      <c r="J128" t="n" s="2">
        <v>12.8</v>
      </c>
      <c r="K128" t="s">
        <v>33</v>
      </c>
      <c r="L128" t="s">
        <v>33</v>
      </c>
      <c r="M128" s="3">
        <f>IFERROR(K128/J128,0)</f>
      </c>
      <c r="N128" t="s">
        <v>439</v>
      </c>
      <c r="O128" t="s">
        <v>49</v>
      </c>
      <c r="P128" t="s">
        <v>456</v>
      </c>
      <c r="Q128" t="s">
        <v>33</v>
      </c>
      <c r="R128" t="s">
        <v>457</v>
      </c>
      <c r="S128" t="s">
        <v>55</v>
      </c>
      <c r="T128" t="n" s="2">
        <v>11.32</v>
      </c>
      <c r="U128" t="s">
        <v>458</v>
      </c>
      <c r="V128" t="s">
        <v>39</v>
      </c>
      <c r="W128" t="n" s="2">
        <v>-1.48</v>
      </c>
    </row>
    <row r="129">
      <c r="A129" t="s" s="0">
        <v>434</v>
      </c>
      <c r="B129" t="s" s="0">
        <v>24</v>
      </c>
      <c r="C129" t="s" s="0">
        <v>383</v>
      </c>
      <c r="D129" t="s" s="0">
        <v>435</v>
      </c>
      <c r="E129" t="s" s="0">
        <v>436</v>
      </c>
      <c r="F129" t="s" s="0">
        <v>437</v>
      </c>
      <c r="G129" t="s" s="0">
        <v>76</v>
      </c>
      <c r="H129" t="s" s="0">
        <v>459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439</v>
      </c>
      <c r="O129" t="s">
        <v>49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434</v>
      </c>
      <c r="B130" t="s" s="0">
        <v>24</v>
      </c>
      <c r="C130" t="s" s="0">
        <v>383</v>
      </c>
      <c r="D130" t="s" s="0">
        <v>435</v>
      </c>
      <c r="E130" t="s" s="0">
        <v>436</v>
      </c>
      <c r="F130" t="s" s="0">
        <v>437</v>
      </c>
      <c r="G130" t="s" s="0">
        <v>76</v>
      </c>
      <c r="H130" t="s" s="0">
        <v>41</v>
      </c>
      <c r="I130" t="s" s="0">
        <v>31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439</v>
      </c>
      <c r="O130" t="s">
        <v>49</v>
      </c>
      <c r="P130" t="s">
        <v>460</v>
      </c>
      <c r="Q130" t="s">
        <v>33</v>
      </c>
      <c r="R130" t="s">
        <v>461</v>
      </c>
      <c r="S130" t="s">
        <v>62</v>
      </c>
      <c r="T130" t="n" s="2">
        <v>11.32</v>
      </c>
      <c r="U130" t="s">
        <v>462</v>
      </c>
      <c r="V130" t="s">
        <v>39</v>
      </c>
      <c r="W130" t="n" s="2">
        <v>-1.68</v>
      </c>
    </row>
    <row r="131">
      <c r="A131" t="s" s="0">
        <v>434</v>
      </c>
      <c r="B131" t="s" s="0">
        <v>24</v>
      </c>
      <c r="C131" t="s" s="0">
        <v>383</v>
      </c>
      <c r="D131" t="s" s="0">
        <v>435</v>
      </c>
      <c r="E131" t="s" s="0">
        <v>436</v>
      </c>
      <c r="F131" t="s" s="0">
        <v>437</v>
      </c>
      <c r="G131" t="s" s="0">
        <v>76</v>
      </c>
      <c r="H131" t="s" s="0">
        <v>463</v>
      </c>
      <c r="I131" t="s" s="0">
        <v>31</v>
      </c>
      <c r="J131" t="n" s="2">
        <v>13.0</v>
      </c>
      <c r="K131" t="n" s="2">
        <v>7.0</v>
      </c>
      <c r="L131" t="n" s="2">
        <v>6.0</v>
      </c>
      <c r="M131" s="3">
        <f>IFERROR(K131/J131,0)</f>
      </c>
      <c r="N131" t="s">
        <v>439</v>
      </c>
      <c r="O131" t="s">
        <v>49</v>
      </c>
      <c r="P131" t="s">
        <v>464</v>
      </c>
      <c r="Q131" t="s">
        <v>447</v>
      </c>
      <c r="R131" t="s">
        <v>465</v>
      </c>
      <c r="S131" t="s">
        <v>67</v>
      </c>
      <c r="T131" t="n" s="2">
        <v>11.32</v>
      </c>
      <c r="U131" t="s">
        <v>462</v>
      </c>
      <c r="V131" t="s">
        <v>466</v>
      </c>
      <c r="W131" t="n" s="2">
        <v>-1.68</v>
      </c>
    </row>
    <row r="132">
      <c r="A132" t="s" s="0">
        <v>434</v>
      </c>
      <c r="B132" t="s" s="0">
        <v>24</v>
      </c>
      <c r="C132" t="s" s="0">
        <v>383</v>
      </c>
      <c r="D132" t="s" s="0">
        <v>435</v>
      </c>
      <c r="E132" t="s" s="0">
        <v>436</v>
      </c>
      <c r="F132" t="s" s="0">
        <v>437</v>
      </c>
      <c r="G132" t="s" s="0">
        <v>29</v>
      </c>
      <c r="H132" t="s" s="0">
        <v>467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439</v>
      </c>
      <c r="O132" t="s">
        <v>49</v>
      </c>
      <c r="P132" t="s">
        <v>468</v>
      </c>
      <c r="Q132" t="s">
        <v>33</v>
      </c>
      <c r="R132" t="s">
        <v>469</v>
      </c>
      <c r="S132" t="s">
        <v>69</v>
      </c>
      <c r="T132" t="n" s="2">
        <v>12.74</v>
      </c>
      <c r="U132" t="s">
        <v>441</v>
      </c>
      <c r="V132" t="s">
        <v>39</v>
      </c>
      <c r="W132" t="n" s="2">
        <v>-0.26</v>
      </c>
    </row>
    <row r="133">
      <c r="A133" t="s" s="0">
        <v>434</v>
      </c>
      <c r="B133" t="s" s="0">
        <v>24</v>
      </c>
      <c r="C133" t="s" s="0">
        <v>383</v>
      </c>
      <c r="D133" t="s" s="0">
        <v>435</v>
      </c>
      <c r="E133" t="s" s="0">
        <v>436</v>
      </c>
      <c r="F133" t="s" s="0">
        <v>437</v>
      </c>
      <c r="G133" t="s" s="0">
        <v>29</v>
      </c>
      <c r="H133" t="s" s="0">
        <v>470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439</v>
      </c>
      <c r="O133" t="s">
        <v>49</v>
      </c>
      <c r="P133" t="s">
        <v>33</v>
      </c>
      <c r="Q133" t="s">
        <v>33</v>
      </c>
      <c r="R133" t="s">
        <v>33</v>
      </c>
      <c r="S133" t="s">
        <v>34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471</v>
      </c>
      <c r="B134" t="s" s="0">
        <v>163</v>
      </c>
      <c r="C134" t="s" s="0">
        <v>472</v>
      </c>
      <c r="D134" t="s" s="0">
        <v>473</v>
      </c>
      <c r="E134" t="s" s="0">
        <v>474</v>
      </c>
      <c r="F134" t="s" s="0">
        <v>475</v>
      </c>
      <c r="G134" t="s" s="0">
        <v>29</v>
      </c>
      <c r="H134" t="s" s="0">
        <v>476</v>
      </c>
      <c r="I134" t="s" s="0">
        <v>31</v>
      </c>
      <c r="J134" t="n" s="2">
        <v>7.3</v>
      </c>
      <c r="K134" t="s">
        <v>33</v>
      </c>
      <c r="L134" t="s">
        <v>33</v>
      </c>
      <c r="M134" s="3">
        <f>IFERROR(K134/J134,0)</f>
      </c>
      <c r="N134" t="s">
        <v>53</v>
      </c>
      <c r="O134" t="s">
        <v>35</v>
      </c>
      <c r="P134" t="s">
        <v>477</v>
      </c>
      <c r="Q134" t="s">
        <v>33</v>
      </c>
      <c r="R134" t="s">
        <v>478</v>
      </c>
      <c r="S134" t="s">
        <v>42</v>
      </c>
      <c r="T134" t="n" s="2">
        <v>8.75</v>
      </c>
      <c r="U134" t="s">
        <v>479</v>
      </c>
      <c r="V134" t="s">
        <v>39</v>
      </c>
      <c r="W134" t="n" s="2">
        <v>1.45</v>
      </c>
    </row>
    <row r="135">
      <c r="A135" t="s" s="0">
        <v>471</v>
      </c>
      <c r="B135" t="s" s="0">
        <v>163</v>
      </c>
      <c r="C135" t="s" s="0">
        <v>472</v>
      </c>
      <c r="D135" t="s" s="0">
        <v>473</v>
      </c>
      <c r="E135" t="s" s="0">
        <v>474</v>
      </c>
      <c r="F135" t="s" s="0">
        <v>475</v>
      </c>
      <c r="G135" t="s" s="0">
        <v>480</v>
      </c>
      <c r="H135" t="s" s="0">
        <v>481</v>
      </c>
      <c r="I135" t="s" s="0">
        <v>482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53</v>
      </c>
      <c r="O135" t="s">
        <v>35</v>
      </c>
      <c r="P135" t="s">
        <v>33</v>
      </c>
      <c r="Q135" t="s">
        <v>33</v>
      </c>
      <c r="R135" t="s">
        <v>33</v>
      </c>
      <c r="S135" t="s">
        <v>49</v>
      </c>
      <c r="U135" t="s">
        <v>39</v>
      </c>
      <c r="V135" t="s">
        <v>39</v>
      </c>
      <c r="W135" t="s">
        <v>39</v>
      </c>
    </row>
    <row r="136">
      <c r="A136" t="s" s="0">
        <v>483</v>
      </c>
      <c r="B136" t="s" s="0">
        <v>163</v>
      </c>
      <c r="C136" t="s" s="0">
        <v>273</v>
      </c>
      <c r="D136" t="s" s="0">
        <v>484</v>
      </c>
      <c r="E136" t="s" s="0">
        <v>485</v>
      </c>
      <c r="F136" t="s" s="0">
        <v>486</v>
      </c>
      <c r="G136" t="s" s="0">
        <v>122</v>
      </c>
      <c r="H136" t="s" s="0">
        <v>487</v>
      </c>
      <c r="I136" t="s" s="0">
        <v>279</v>
      </c>
      <c r="J136" t="n" s="2">
        <v>11.5</v>
      </c>
      <c r="K136" t="s">
        <v>33</v>
      </c>
      <c r="L136" t="s">
        <v>33</v>
      </c>
      <c r="M136" s="3">
        <f>IFERROR(K136/J136,0)</f>
      </c>
      <c r="N136" t="s">
        <v>488</v>
      </c>
      <c r="O136" t="s">
        <v>69</v>
      </c>
      <c r="P136" t="s">
        <v>489</v>
      </c>
      <c r="Q136" t="s">
        <v>33</v>
      </c>
      <c r="R136" t="s">
        <v>490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483</v>
      </c>
      <c r="B137" t="s" s="0">
        <v>163</v>
      </c>
      <c r="C137" t="s" s="0">
        <v>273</v>
      </c>
      <c r="D137" t="s" s="0">
        <v>484</v>
      </c>
      <c r="E137" t="s" s="0">
        <v>485</v>
      </c>
      <c r="F137" t="s" s="0">
        <v>486</v>
      </c>
      <c r="G137" t="s" s="0">
        <v>99</v>
      </c>
      <c r="H137" t="s" s="0">
        <v>491</v>
      </c>
      <c r="I137" t="s" s="0">
        <v>31</v>
      </c>
      <c r="J137" t="n" s="2">
        <v>12.5</v>
      </c>
      <c r="K137" t="n" s="2">
        <v>6.5</v>
      </c>
      <c r="L137" t="n" s="2">
        <v>6.0</v>
      </c>
      <c r="M137" s="3">
        <f>IFERROR(K137/J137,0)</f>
      </c>
      <c r="N137" t="s">
        <v>488</v>
      </c>
      <c r="O137" t="s">
        <v>69</v>
      </c>
      <c r="P137" t="s">
        <v>492</v>
      </c>
      <c r="Q137" t="s">
        <v>493</v>
      </c>
      <c r="R137" t="s">
        <v>494</v>
      </c>
      <c r="S137" t="s">
        <v>49</v>
      </c>
      <c r="T137" t="n" s="2">
        <v>10.4</v>
      </c>
      <c r="U137" t="s">
        <v>495</v>
      </c>
      <c r="V137" t="s">
        <v>496</v>
      </c>
      <c r="W137" t="n" s="2">
        <v>-2.1</v>
      </c>
    </row>
    <row r="138">
      <c r="A138" t="s" s="0">
        <v>483</v>
      </c>
      <c r="B138" t="s" s="0">
        <v>163</v>
      </c>
      <c r="C138" t="s" s="0">
        <v>273</v>
      </c>
      <c r="D138" t="s" s="0">
        <v>484</v>
      </c>
      <c r="E138" t="s" s="0">
        <v>485</v>
      </c>
      <c r="F138" t="s" s="0">
        <v>486</v>
      </c>
      <c r="G138" t="s" s="0">
        <v>99</v>
      </c>
      <c r="H138" t="s" s="0">
        <v>497</v>
      </c>
      <c r="I138" t="s" s="0">
        <v>31</v>
      </c>
      <c r="J138" t="n" s="2">
        <v>12.5</v>
      </c>
      <c r="K138" t="n" s="2">
        <v>5.9</v>
      </c>
      <c r="L138" t="n" s="2">
        <v>6.6</v>
      </c>
      <c r="M138" s="3">
        <f>IFERROR(K138/J138,0)</f>
      </c>
      <c r="N138" t="s">
        <v>488</v>
      </c>
      <c r="O138" t="s">
        <v>69</v>
      </c>
      <c r="P138" t="s">
        <v>498</v>
      </c>
      <c r="Q138" t="s">
        <v>499</v>
      </c>
      <c r="R138" t="s">
        <v>500</v>
      </c>
      <c r="S138" t="s">
        <v>51</v>
      </c>
      <c r="T138" t="n" s="2">
        <v>10.4</v>
      </c>
      <c r="U138" t="s">
        <v>495</v>
      </c>
      <c r="V138" t="s">
        <v>501</v>
      </c>
      <c r="W138" t="n" s="2">
        <v>-2.1</v>
      </c>
    </row>
    <row r="139">
      <c r="A139" t="s" s="0">
        <v>483</v>
      </c>
      <c r="B139" t="s" s="0">
        <v>163</v>
      </c>
      <c r="C139" t="s" s="0">
        <v>273</v>
      </c>
      <c r="D139" t="s" s="0">
        <v>484</v>
      </c>
      <c r="E139" t="s" s="0">
        <v>485</v>
      </c>
      <c r="F139" t="s" s="0">
        <v>486</v>
      </c>
      <c r="G139" t="s" s="0">
        <v>99</v>
      </c>
      <c r="H139" t="s" s="0">
        <v>502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488</v>
      </c>
      <c r="O139" t="s">
        <v>69</v>
      </c>
      <c r="P139" t="s">
        <v>33</v>
      </c>
      <c r="Q139" t="s">
        <v>33</v>
      </c>
      <c r="R139" t="s">
        <v>33</v>
      </c>
      <c r="S139" t="s">
        <v>53</v>
      </c>
      <c r="T139" t="n" s="2">
        <v>10.4</v>
      </c>
      <c r="U139" t="s">
        <v>39</v>
      </c>
      <c r="V139" t="s">
        <v>39</v>
      </c>
      <c r="W139" t="s">
        <v>39</v>
      </c>
    </row>
    <row r="140">
      <c r="A140" t="s" s="0">
        <v>483</v>
      </c>
      <c r="B140" t="s" s="0">
        <v>163</v>
      </c>
      <c r="C140" t="s" s="0">
        <v>273</v>
      </c>
      <c r="D140" t="s" s="0">
        <v>484</v>
      </c>
      <c r="E140" t="s" s="0">
        <v>485</v>
      </c>
      <c r="F140" t="s" s="0">
        <v>486</v>
      </c>
      <c r="G140" t="s" s="0">
        <v>76</v>
      </c>
      <c r="H140" t="s" s="0">
        <v>41</v>
      </c>
      <c r="I140" t="s" s="0">
        <v>31</v>
      </c>
      <c r="J140" t="n" s="2">
        <v>13.0</v>
      </c>
      <c r="K140" t="n" s="2">
        <v>6.7</v>
      </c>
      <c r="L140" t="n" s="2">
        <v>6.3</v>
      </c>
      <c r="M140" s="3">
        <f>IFERROR(K140/J140,0)</f>
      </c>
      <c r="N140" t="s">
        <v>488</v>
      </c>
      <c r="O140" t="s">
        <v>69</v>
      </c>
      <c r="P140" t="s">
        <v>503</v>
      </c>
      <c r="Q140" t="s">
        <v>504</v>
      </c>
      <c r="R140" t="s">
        <v>505</v>
      </c>
      <c r="S140" t="s">
        <v>55</v>
      </c>
      <c r="T140" t="n" s="2">
        <v>10.54</v>
      </c>
      <c r="U140" t="s">
        <v>506</v>
      </c>
      <c r="V140" t="s">
        <v>507</v>
      </c>
      <c r="W140" t="n" s="2">
        <v>-2.46</v>
      </c>
    </row>
    <row r="141">
      <c r="A141" t="s" s="0">
        <v>483</v>
      </c>
      <c r="B141" t="s" s="0">
        <v>163</v>
      </c>
      <c r="C141" t="s" s="0">
        <v>273</v>
      </c>
      <c r="D141" t="s" s="0">
        <v>484</v>
      </c>
      <c r="E141" t="s" s="0">
        <v>485</v>
      </c>
      <c r="F141" t="s" s="0">
        <v>486</v>
      </c>
      <c r="G141" t="s" s="0">
        <v>76</v>
      </c>
      <c r="H141" t="s" s="0">
        <v>508</v>
      </c>
      <c r="I141" t="s" s="0">
        <v>31</v>
      </c>
      <c r="J141" t="n" s="2">
        <v>13.0</v>
      </c>
      <c r="K141" t="n" s="2">
        <v>6.7</v>
      </c>
      <c r="L141" t="n" s="2">
        <v>6.3</v>
      </c>
      <c r="M141" s="3">
        <f>IFERROR(K141/J141,0)</f>
      </c>
      <c r="N141" t="s">
        <v>488</v>
      </c>
      <c r="O141" t="s">
        <v>69</v>
      </c>
      <c r="P141" t="s">
        <v>460</v>
      </c>
      <c r="Q141" t="s">
        <v>460</v>
      </c>
      <c r="R141" t="s">
        <v>509</v>
      </c>
      <c r="S141" t="s">
        <v>60</v>
      </c>
      <c r="T141" t="n" s="2">
        <v>10.54</v>
      </c>
      <c r="U141" t="s">
        <v>506</v>
      </c>
      <c r="V141" t="s">
        <v>507</v>
      </c>
      <c r="W141" t="n" s="2">
        <v>-2.46</v>
      </c>
    </row>
    <row r="142">
      <c r="A142" t="s" s="0">
        <v>483</v>
      </c>
      <c r="B142" t="s" s="0">
        <v>163</v>
      </c>
      <c r="C142" t="s" s="0">
        <v>273</v>
      </c>
      <c r="D142" t="s" s="0">
        <v>484</v>
      </c>
      <c r="E142" t="s" s="0">
        <v>485</v>
      </c>
      <c r="F142" t="s" s="0">
        <v>486</v>
      </c>
      <c r="G142" t="s" s="0">
        <v>76</v>
      </c>
      <c r="H142" t="s" s="0">
        <v>510</v>
      </c>
      <c r="I142" t="s" s="0">
        <v>31</v>
      </c>
      <c r="J142" t="n" s="2">
        <v>13.5</v>
      </c>
      <c r="K142" t="s">
        <v>33</v>
      </c>
      <c r="L142" t="s">
        <v>33</v>
      </c>
      <c r="M142" s="3">
        <f>IFERROR(K142/J142,0)</f>
      </c>
      <c r="N142" t="s">
        <v>488</v>
      </c>
      <c r="O142" t="s">
        <v>69</v>
      </c>
      <c r="P142" t="s">
        <v>511</v>
      </c>
      <c r="Q142" t="s">
        <v>33</v>
      </c>
      <c r="R142" t="s">
        <v>512</v>
      </c>
      <c r="S142" t="s">
        <v>62</v>
      </c>
      <c r="T142" t="n" s="2">
        <v>10.54</v>
      </c>
      <c r="U142" t="s">
        <v>513</v>
      </c>
      <c r="V142" t="s">
        <v>39</v>
      </c>
      <c r="W142" t="n" s="2">
        <v>-2.96</v>
      </c>
    </row>
    <row r="143">
      <c r="A143" t="s" s="0">
        <v>483</v>
      </c>
      <c r="B143" t="s" s="0">
        <v>163</v>
      </c>
      <c r="C143" t="s" s="0">
        <v>273</v>
      </c>
      <c r="D143" t="s" s="0">
        <v>484</v>
      </c>
      <c r="E143" t="s" s="0">
        <v>485</v>
      </c>
      <c r="F143" t="s" s="0">
        <v>486</v>
      </c>
      <c r="G143" t="s" s="0">
        <v>76</v>
      </c>
      <c r="H143" t="s" s="0">
        <v>463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488</v>
      </c>
      <c r="O143" t="s">
        <v>69</v>
      </c>
      <c r="P143" t="s">
        <v>33</v>
      </c>
      <c r="Q143" t="s">
        <v>33</v>
      </c>
      <c r="R143" t="s">
        <v>33</v>
      </c>
      <c r="S143" t="s">
        <v>67</v>
      </c>
      <c r="T143" t="n" s="2">
        <v>10.54</v>
      </c>
      <c r="U143" t="s">
        <v>39</v>
      </c>
      <c r="V143" t="s">
        <v>39</v>
      </c>
      <c r="W143" t="s">
        <v>39</v>
      </c>
    </row>
    <row r="144">
      <c r="A144" t="s" s="0">
        <v>483</v>
      </c>
      <c r="B144" t="s" s="0">
        <v>163</v>
      </c>
      <c r="C144" t="s" s="0">
        <v>273</v>
      </c>
      <c r="D144" t="s" s="0">
        <v>484</v>
      </c>
      <c r="E144" t="s" s="0">
        <v>485</v>
      </c>
      <c r="F144" t="s" s="0">
        <v>486</v>
      </c>
      <c r="G144" t="s" s="0">
        <v>29</v>
      </c>
      <c r="H144" t="s" s="0">
        <v>54</v>
      </c>
      <c r="I144" t="s" s="0">
        <v>31</v>
      </c>
      <c r="J144" t="n" s="2">
        <v>13.5</v>
      </c>
      <c r="K144" t="s">
        <v>33</v>
      </c>
      <c r="L144" t="s">
        <v>33</v>
      </c>
      <c r="M144" s="3">
        <f>IFERROR(K144/J144,0)</f>
      </c>
      <c r="N144" t="s">
        <v>488</v>
      </c>
      <c r="O144" t="s">
        <v>69</v>
      </c>
      <c r="P144" t="s">
        <v>514</v>
      </c>
      <c r="Q144" t="s">
        <v>33</v>
      </c>
      <c r="R144" t="s">
        <v>515</v>
      </c>
      <c r="S144" t="s">
        <v>69</v>
      </c>
      <c r="T144" t="n" s="2">
        <v>12.56</v>
      </c>
      <c r="U144" t="s">
        <v>516</v>
      </c>
      <c r="V144" t="s">
        <v>39</v>
      </c>
      <c r="W144" t="n" s="2">
        <v>-0.94</v>
      </c>
    </row>
    <row r="145">
      <c r="A145" t="s" s="0">
        <v>483</v>
      </c>
      <c r="B145" t="s" s="0">
        <v>163</v>
      </c>
      <c r="C145" t="s" s="0">
        <v>273</v>
      </c>
      <c r="D145" t="s" s="0">
        <v>484</v>
      </c>
      <c r="E145" t="s" s="0">
        <v>485</v>
      </c>
      <c r="F145" t="s" s="0">
        <v>486</v>
      </c>
      <c r="G145" t="s" s="0">
        <v>29</v>
      </c>
      <c r="H145" t="s" s="0">
        <v>517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488</v>
      </c>
      <c r="O145" t="s">
        <v>69</v>
      </c>
      <c r="P145" t="s">
        <v>33</v>
      </c>
      <c r="Q145" t="s">
        <v>33</v>
      </c>
      <c r="R145" t="s">
        <v>33</v>
      </c>
      <c r="S145" t="s">
        <v>34</v>
      </c>
      <c r="T145" t="n" s="2">
        <v>12.56</v>
      </c>
      <c r="U145" t="s">
        <v>39</v>
      </c>
      <c r="V145" t="s">
        <v>39</v>
      </c>
      <c r="W145" t="s">
        <v>39</v>
      </c>
    </row>
    <row r="146">
      <c r="A146" t="s" s="0">
        <v>518</v>
      </c>
      <c r="B146" t="s" s="0">
        <v>163</v>
      </c>
      <c r="C146" t="s" s="0">
        <v>273</v>
      </c>
      <c r="D146" t="s" s="0">
        <v>519</v>
      </c>
      <c r="E146" t="s" s="0">
        <v>520</v>
      </c>
      <c r="F146" t="s" s="0">
        <v>521</v>
      </c>
      <c r="G146" t="s" s="0">
        <v>29</v>
      </c>
      <c r="H146" t="s" s="0">
        <v>522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</v>
      </c>
      <c r="O146" t="s">
        <v>35</v>
      </c>
      <c r="P146" t="s">
        <v>33</v>
      </c>
      <c r="Q146" t="s">
        <v>33</v>
      </c>
      <c r="R146" t="s">
        <v>33</v>
      </c>
      <c r="S146" t="s">
        <v>42</v>
      </c>
      <c r="U146" t="s">
        <v>39</v>
      </c>
      <c r="V146" t="s">
        <v>39</v>
      </c>
      <c r="W146" t="s">
        <v>39</v>
      </c>
    </row>
    <row r="147">
      <c r="A147" t="s" s="0">
        <v>518</v>
      </c>
      <c r="B147" t="s" s="0">
        <v>163</v>
      </c>
      <c r="C147" t="s" s="0">
        <v>273</v>
      </c>
      <c r="D147" t="s" s="0">
        <v>519</v>
      </c>
      <c r="E147" t="s" s="0">
        <v>520</v>
      </c>
      <c r="F147" t="s" s="0">
        <v>521</v>
      </c>
      <c r="G147" t="s" s="0">
        <v>29</v>
      </c>
      <c r="H147" t="s" s="0">
        <v>523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49</v>
      </c>
      <c r="O147" t="s">
        <v>35</v>
      </c>
      <c r="P147" t="s">
        <v>33</v>
      </c>
      <c r="Q147" t="s">
        <v>33</v>
      </c>
      <c r="R147" t="s">
        <v>33</v>
      </c>
      <c r="S147" t="s">
        <v>49</v>
      </c>
      <c r="U147" t="s">
        <v>39</v>
      </c>
      <c r="V147" t="s">
        <v>39</v>
      </c>
      <c r="W147" t="s">
        <v>39</v>
      </c>
    </row>
    <row r="148">
      <c r="A148" t="s" s="0">
        <v>518</v>
      </c>
      <c r="B148" t="s" s="0">
        <v>163</v>
      </c>
      <c r="C148" t="s" s="0">
        <v>273</v>
      </c>
      <c r="D148" t="s" s="0">
        <v>519</v>
      </c>
      <c r="E148" t="s" s="0">
        <v>520</v>
      </c>
      <c r="F148" t="s" s="0">
        <v>521</v>
      </c>
      <c r="G148" t="s" s="0">
        <v>524</v>
      </c>
      <c r="H148" t="s" s="0">
        <v>525</v>
      </c>
      <c r="I148" t="s" s="0">
        <v>106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49</v>
      </c>
      <c r="O148" t="s">
        <v>35</v>
      </c>
      <c r="P148" t="s">
        <v>33</v>
      </c>
      <c r="Q148" t="s">
        <v>33</v>
      </c>
      <c r="R148" t="s">
        <v>33</v>
      </c>
      <c r="S148" t="s">
        <v>51</v>
      </c>
      <c r="U148" t="s">
        <v>39</v>
      </c>
      <c r="V148" t="s">
        <v>39</v>
      </c>
      <c r="W148" t="s">
        <v>39</v>
      </c>
    </row>
    <row r="149">
      <c r="A149" t="s" s="0">
        <v>518</v>
      </c>
      <c r="B149" t="s" s="0">
        <v>163</v>
      </c>
      <c r="C149" t="s" s="0">
        <v>273</v>
      </c>
      <c r="D149" t="s" s="0">
        <v>519</v>
      </c>
      <c r="E149" t="s" s="0">
        <v>520</v>
      </c>
      <c r="F149" t="s" s="0">
        <v>521</v>
      </c>
      <c r="G149" t="s" s="0">
        <v>526</v>
      </c>
      <c r="H149" t="s" s="0">
        <v>527</v>
      </c>
      <c r="I149" t="s" s="0">
        <v>106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49</v>
      </c>
      <c r="O149" t="s">
        <v>35</v>
      </c>
      <c r="P149" t="s">
        <v>33</v>
      </c>
      <c r="Q149" t="s">
        <v>33</v>
      </c>
      <c r="R149" t="s">
        <v>33</v>
      </c>
      <c r="S149" t="s">
        <v>53</v>
      </c>
      <c r="U149" t="s">
        <v>39</v>
      </c>
      <c r="V149" t="s">
        <v>39</v>
      </c>
      <c r="W149" t="s">
        <v>39</v>
      </c>
    </row>
    <row r="150">
      <c r="A150" t="s" s="0">
        <v>518</v>
      </c>
      <c r="B150" t="s" s="0">
        <v>163</v>
      </c>
      <c r="C150" t="s" s="0">
        <v>273</v>
      </c>
      <c r="D150" t="s" s="0">
        <v>519</v>
      </c>
      <c r="E150" t="s" s="0">
        <v>520</v>
      </c>
      <c r="F150" t="s" s="0">
        <v>521</v>
      </c>
      <c r="G150" t="s" s="0">
        <v>528</v>
      </c>
      <c r="H150" t="s" s="0">
        <v>529</v>
      </c>
      <c r="I150" t="s" s="0">
        <v>530</v>
      </c>
      <c r="J150" t="n" s="2">
        <v>9.6</v>
      </c>
      <c r="K150" t="s">
        <v>33</v>
      </c>
      <c r="L150" t="s">
        <v>33</v>
      </c>
      <c r="M150" s="3">
        <f>IFERROR(K150/J150,0)</f>
      </c>
      <c r="N150" t="s">
        <v>49</v>
      </c>
      <c r="O150" t="s">
        <v>35</v>
      </c>
      <c r="P150" t="s">
        <v>531</v>
      </c>
      <c r="Q150" t="s">
        <v>33</v>
      </c>
      <c r="R150" t="s">
        <v>532</v>
      </c>
      <c r="S150" t="s">
        <v>55</v>
      </c>
      <c r="U150" t="s">
        <v>39</v>
      </c>
      <c r="V150" t="s">
        <v>39</v>
      </c>
      <c r="W150" t="s">
        <v>39</v>
      </c>
    </row>
    <row r="151">
      <c r="A151" t="s" s="0">
        <v>518</v>
      </c>
      <c r="B151" t="s" s="0">
        <v>163</v>
      </c>
      <c r="C151" t="s" s="0">
        <v>273</v>
      </c>
      <c r="D151" t="s" s="0">
        <v>519</v>
      </c>
      <c r="E151" t="s" s="0">
        <v>520</v>
      </c>
      <c r="F151" t="s" s="0">
        <v>521</v>
      </c>
      <c r="G151" t="s" s="0">
        <v>533</v>
      </c>
      <c r="H151" t="s" s="0">
        <v>534</v>
      </c>
      <c r="I151" t="s" s="0">
        <v>106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49</v>
      </c>
      <c r="O151" t="s">
        <v>35</v>
      </c>
      <c r="P151" t="s">
        <v>33</v>
      </c>
      <c r="Q151" t="s">
        <v>33</v>
      </c>
      <c r="R151" t="s">
        <v>33</v>
      </c>
      <c r="S151" t="s">
        <v>60</v>
      </c>
      <c r="U151" t="s">
        <v>39</v>
      </c>
      <c r="V151" t="s">
        <v>39</v>
      </c>
      <c r="W151" t="s">
        <v>39</v>
      </c>
    </row>
    <row r="152">
      <c r="A152" t="s" s="0">
        <v>518</v>
      </c>
      <c r="B152" t="s" s="0">
        <v>163</v>
      </c>
      <c r="C152" t="s" s="0">
        <v>273</v>
      </c>
      <c r="D152" t="s" s="0">
        <v>519</v>
      </c>
      <c r="E152" t="s" s="0">
        <v>520</v>
      </c>
      <c r="F152" t="s" s="0">
        <v>521</v>
      </c>
      <c r="G152" t="s" s="0">
        <v>535</v>
      </c>
      <c r="H152" t="s" s="0">
        <v>536</v>
      </c>
      <c r="I152" t="s" s="0">
        <v>106</v>
      </c>
      <c r="J152" t="n" s="2">
        <v>10.0</v>
      </c>
      <c r="K152" t="s">
        <v>33</v>
      </c>
      <c r="L152" t="s">
        <v>33</v>
      </c>
      <c r="M152" s="3">
        <f>IFERROR(K152/J152,0)</f>
      </c>
      <c r="N152" t="s">
        <v>49</v>
      </c>
      <c r="O152" t="s">
        <v>35</v>
      </c>
      <c r="P152" t="s">
        <v>537</v>
      </c>
      <c r="Q152" t="s">
        <v>33</v>
      </c>
      <c r="R152" t="s">
        <v>538</v>
      </c>
      <c r="S152" t="s">
        <v>62</v>
      </c>
      <c r="U152" t="s">
        <v>39</v>
      </c>
      <c r="V152" t="s">
        <v>39</v>
      </c>
      <c r="W152" t="s">
        <v>39</v>
      </c>
    </row>
    <row r="153">
      <c r="A153" t="s" s="0">
        <v>539</v>
      </c>
      <c r="B153" t="s" s="0">
        <v>24</v>
      </c>
      <c r="C153" t="s" s="0">
        <v>383</v>
      </c>
      <c r="D153" t="s" s="0">
        <v>540</v>
      </c>
      <c r="E153" t="s" s="0">
        <v>436</v>
      </c>
      <c r="F153" t="s" s="0">
        <v>541</v>
      </c>
      <c r="G153" t="s" s="0">
        <v>122</v>
      </c>
      <c r="H153" t="s" s="0">
        <v>542</v>
      </c>
      <c r="I153" t="s" s="0">
        <v>124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53</v>
      </c>
      <c r="O153" t="s">
        <v>51</v>
      </c>
      <c r="P153" t="s">
        <v>33</v>
      </c>
      <c r="Q153" t="s">
        <v>33</v>
      </c>
      <c r="R153" t="s">
        <v>33</v>
      </c>
      <c r="S153" t="s">
        <v>42</v>
      </c>
      <c r="T153" t="n" s="2">
        <v>6.8</v>
      </c>
      <c r="U153" t="s">
        <v>39</v>
      </c>
      <c r="V153" t="s">
        <v>39</v>
      </c>
      <c r="W153" t="s">
        <v>39</v>
      </c>
    </row>
    <row r="154">
      <c r="A154" t="s" s="0">
        <v>539</v>
      </c>
      <c r="B154" t="s" s="0">
        <v>24</v>
      </c>
      <c r="C154" t="s" s="0">
        <v>383</v>
      </c>
      <c r="D154" t="s" s="0">
        <v>540</v>
      </c>
      <c r="E154" t="s" s="0">
        <v>436</v>
      </c>
      <c r="F154" t="s" s="0">
        <v>541</v>
      </c>
      <c r="G154" t="s" s="0">
        <v>99</v>
      </c>
      <c r="H154" t="s" s="0">
        <v>543</v>
      </c>
      <c r="I154" t="s" s="0">
        <v>31</v>
      </c>
      <c r="J154" t="n" s="2">
        <v>10.2</v>
      </c>
      <c r="K154" t="n" s="2">
        <v>5.8</v>
      </c>
      <c r="L154" t="n" s="2">
        <v>4.4</v>
      </c>
      <c r="M154" s="3">
        <f>IFERROR(K154/J154,0)</f>
      </c>
      <c r="N154" t="s">
        <v>53</v>
      </c>
      <c r="O154" t="s">
        <v>51</v>
      </c>
      <c r="P154" t="s">
        <v>544</v>
      </c>
      <c r="Q154" t="s">
        <v>545</v>
      </c>
      <c r="R154" t="s">
        <v>546</v>
      </c>
      <c r="S154" t="s">
        <v>49</v>
      </c>
      <c r="T154" t="n" s="2">
        <v>8.0</v>
      </c>
      <c r="U154" t="s">
        <v>547</v>
      </c>
      <c r="V154" t="s">
        <v>548</v>
      </c>
      <c r="W154" t="n" s="2">
        <v>-2.2</v>
      </c>
    </row>
    <row r="155">
      <c r="A155" t="s" s="0">
        <v>539</v>
      </c>
      <c r="B155" t="s" s="0">
        <v>24</v>
      </c>
      <c r="C155" t="s" s="0">
        <v>383</v>
      </c>
      <c r="D155" t="s" s="0">
        <v>540</v>
      </c>
      <c r="E155" t="s" s="0">
        <v>436</v>
      </c>
      <c r="F155" t="s" s="0">
        <v>541</v>
      </c>
      <c r="G155" t="s" s="0">
        <v>99</v>
      </c>
      <c r="H155" t="s" s="0">
        <v>549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53</v>
      </c>
      <c r="O155" t="s">
        <v>51</v>
      </c>
      <c r="P155" t="s">
        <v>33</v>
      </c>
      <c r="Q155" t="s">
        <v>33</v>
      </c>
      <c r="R155" t="s">
        <v>33</v>
      </c>
      <c r="S155" t="s">
        <v>51</v>
      </c>
      <c r="T155" t="n" s="2">
        <v>8.0</v>
      </c>
      <c r="U155" t="s">
        <v>39</v>
      </c>
      <c r="V155" t="s">
        <v>39</v>
      </c>
      <c r="W155" t="s">
        <v>39</v>
      </c>
    </row>
    <row r="156">
      <c r="A156" t="s" s="0">
        <v>539</v>
      </c>
      <c r="B156" t="s" s="0">
        <v>24</v>
      </c>
      <c r="C156" t="s" s="0">
        <v>383</v>
      </c>
      <c r="D156" t="s" s="0">
        <v>540</v>
      </c>
      <c r="E156" t="s" s="0">
        <v>436</v>
      </c>
      <c r="F156" t="s" s="0">
        <v>541</v>
      </c>
      <c r="G156" t="s" s="0">
        <v>76</v>
      </c>
      <c r="H156" t="s" s="0">
        <v>550</v>
      </c>
      <c r="I156" t="s" s="0">
        <v>31</v>
      </c>
      <c r="J156" t="n" s="2">
        <v>10.5</v>
      </c>
      <c r="K156" t="s">
        <v>33</v>
      </c>
      <c r="L156" t="s">
        <v>33</v>
      </c>
      <c r="M156" s="3">
        <f>IFERROR(K156/J156,0)</f>
      </c>
      <c r="N156" t="s">
        <v>53</v>
      </c>
      <c r="O156" t="s">
        <v>51</v>
      </c>
      <c r="P156" t="s">
        <v>551</v>
      </c>
      <c r="Q156" t="s">
        <v>33</v>
      </c>
      <c r="R156" t="s">
        <v>552</v>
      </c>
      <c r="S156" t="s">
        <v>53</v>
      </c>
      <c r="T156" t="n" s="2">
        <v>8.8</v>
      </c>
      <c r="U156" t="s">
        <v>553</v>
      </c>
      <c r="V156" t="s">
        <v>39</v>
      </c>
      <c r="W156" t="n" s="2">
        <v>-1.7</v>
      </c>
    </row>
    <row r="157">
      <c r="A157" t="s" s="0">
        <v>554</v>
      </c>
      <c r="B157" t="s" s="0">
        <v>24</v>
      </c>
      <c r="C157" t="s" s="0">
        <v>383</v>
      </c>
      <c r="D157" t="s" s="0">
        <v>555</v>
      </c>
      <c r="E157" t="s" s="0">
        <v>436</v>
      </c>
      <c r="F157" t="s" s="0">
        <v>556</v>
      </c>
      <c r="G157" t="s" s="0">
        <v>122</v>
      </c>
      <c r="H157" t="s" s="0">
        <v>557</v>
      </c>
      <c r="I157" t="s" s="0">
        <v>124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32</v>
      </c>
      <c r="O157" t="s">
        <v>42</v>
      </c>
      <c r="P157" t="s">
        <v>33</v>
      </c>
      <c r="Q157" t="s">
        <v>33</v>
      </c>
      <c r="R157" t="s">
        <v>33</v>
      </c>
      <c r="S157" t="s">
        <v>42</v>
      </c>
      <c r="T157" t="n" s="2">
        <v>7.35</v>
      </c>
      <c r="U157" t="s">
        <v>39</v>
      </c>
      <c r="V157" t="s">
        <v>39</v>
      </c>
      <c r="W157" t="s">
        <v>39</v>
      </c>
    </row>
    <row r="158">
      <c r="A158" t="s" s="0">
        <v>554</v>
      </c>
      <c r="B158" t="s" s="0">
        <v>24</v>
      </c>
      <c r="C158" t="s" s="0">
        <v>383</v>
      </c>
      <c r="D158" t="s" s="0">
        <v>555</v>
      </c>
      <c r="E158" t="s" s="0">
        <v>436</v>
      </c>
      <c r="F158" t="s" s="0">
        <v>556</v>
      </c>
      <c r="G158" t="s" s="0">
        <v>99</v>
      </c>
      <c r="H158" t="s" s="0">
        <v>558</v>
      </c>
      <c r="I158" t="s" s="0">
        <v>31</v>
      </c>
      <c r="J158" t="n" s="2">
        <v>10.3</v>
      </c>
      <c r="K158" t="s">
        <v>33</v>
      </c>
      <c r="L158" t="s">
        <v>33</v>
      </c>
      <c r="M158" s="3">
        <f>IFERROR(K158/J158,0)</f>
      </c>
      <c r="N158" t="s">
        <v>32</v>
      </c>
      <c r="O158" t="s">
        <v>42</v>
      </c>
      <c r="P158" t="s">
        <v>559</v>
      </c>
      <c r="Q158" t="s">
        <v>33</v>
      </c>
      <c r="R158" t="s">
        <v>560</v>
      </c>
      <c r="S158" t="s">
        <v>49</v>
      </c>
      <c r="T158" t="n" s="2">
        <v>8.4</v>
      </c>
      <c r="U158" t="s">
        <v>561</v>
      </c>
      <c r="V158" t="s">
        <v>39</v>
      </c>
      <c r="W158" t="n" s="2">
        <v>-1.9</v>
      </c>
    </row>
    <row r="159">
      <c r="A159" t="s" s="0">
        <v>554</v>
      </c>
      <c r="B159" t="s" s="0">
        <v>24</v>
      </c>
      <c r="C159" t="s" s="0">
        <v>383</v>
      </c>
      <c r="D159" t="s" s="0">
        <v>555</v>
      </c>
      <c r="E159" t="s" s="0">
        <v>436</v>
      </c>
      <c r="F159" t="s" s="0">
        <v>556</v>
      </c>
      <c r="G159" t="s" s="0">
        <v>99</v>
      </c>
      <c r="H159" t="s" s="0">
        <v>562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32</v>
      </c>
      <c r="O159" t="s">
        <v>42</v>
      </c>
      <c r="P159" t="s">
        <v>33</v>
      </c>
      <c r="Q159" t="s">
        <v>33</v>
      </c>
      <c r="R159" t="s">
        <v>33</v>
      </c>
      <c r="S159" t="s">
        <v>51</v>
      </c>
      <c r="T159" t="n" s="2">
        <v>8.4</v>
      </c>
      <c r="U159" t="s">
        <v>39</v>
      </c>
      <c r="V159" t="s">
        <v>39</v>
      </c>
      <c r="W159" t="s">
        <v>39</v>
      </c>
    </row>
    <row r="160">
      <c r="A160" t="s" s="0">
        <v>554</v>
      </c>
      <c r="B160" t="s" s="0">
        <v>24</v>
      </c>
      <c r="C160" t="s" s="0">
        <v>383</v>
      </c>
      <c r="D160" t="s" s="0">
        <v>555</v>
      </c>
      <c r="E160" t="s" s="0">
        <v>436</v>
      </c>
      <c r="F160" t="s" s="0">
        <v>556</v>
      </c>
      <c r="G160" t="s" s="0">
        <v>99</v>
      </c>
      <c r="H160" t="s" s="0">
        <v>563</v>
      </c>
      <c r="I160" t="s" s="0">
        <v>31</v>
      </c>
      <c r="J160" t="n" s="2">
        <v>10.3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42</v>
      </c>
      <c r="P160" t="s">
        <v>564</v>
      </c>
      <c r="Q160" t="s">
        <v>33</v>
      </c>
      <c r="R160" t="s">
        <v>565</v>
      </c>
      <c r="S160" t="s">
        <v>53</v>
      </c>
      <c r="T160" t="n" s="2">
        <v>8.4</v>
      </c>
      <c r="U160" t="s">
        <v>561</v>
      </c>
      <c r="V160" t="s">
        <v>39</v>
      </c>
      <c r="W160" t="n" s="2">
        <v>-1.9</v>
      </c>
    </row>
    <row r="161">
      <c r="A161" t="s" s="0">
        <v>554</v>
      </c>
      <c r="B161" t="s" s="0">
        <v>24</v>
      </c>
      <c r="C161" t="s" s="0">
        <v>383</v>
      </c>
      <c r="D161" t="s" s="0">
        <v>555</v>
      </c>
      <c r="E161" t="s" s="0">
        <v>436</v>
      </c>
      <c r="F161" t="s" s="0">
        <v>556</v>
      </c>
      <c r="G161" t="s" s="0">
        <v>76</v>
      </c>
      <c r="H161" t="s" s="0">
        <v>566</v>
      </c>
      <c r="I161" t="s" s="0">
        <v>31</v>
      </c>
      <c r="J161" t="n" s="2">
        <v>10.5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42</v>
      </c>
      <c r="P161" t="s">
        <v>567</v>
      </c>
      <c r="Q161" t="s">
        <v>33</v>
      </c>
      <c r="R161" t="s">
        <v>568</v>
      </c>
      <c r="S161" t="s">
        <v>55</v>
      </c>
      <c r="T161" t="n" s="2">
        <v>8.87</v>
      </c>
      <c r="U161" t="s">
        <v>569</v>
      </c>
      <c r="V161" t="s">
        <v>39</v>
      </c>
      <c r="W161" t="n" s="2">
        <v>-1.63</v>
      </c>
    </row>
    <row r="162">
      <c r="A162" t="s" s="0">
        <v>570</v>
      </c>
      <c r="B162" t="s" s="0">
        <v>24</v>
      </c>
      <c r="C162" t="s" s="0">
        <v>383</v>
      </c>
      <c r="D162" t="s" s="0">
        <v>571</v>
      </c>
      <c r="E162" t="s" s="0">
        <v>436</v>
      </c>
      <c r="F162" t="s" s="0">
        <v>572</v>
      </c>
      <c r="G162" t="s" s="0">
        <v>99</v>
      </c>
      <c r="H162" t="s" s="0">
        <v>573</v>
      </c>
      <c r="I162" t="s" s="0">
        <v>31</v>
      </c>
      <c r="J162" t="n" s="2">
        <v>11.0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53</v>
      </c>
      <c r="P162" t="s">
        <v>574</v>
      </c>
      <c r="Q162" t="s">
        <v>33</v>
      </c>
      <c r="R162" t="s">
        <v>575</v>
      </c>
      <c r="S162" t="s">
        <v>42</v>
      </c>
      <c r="T162" t="n" s="2">
        <v>8.5</v>
      </c>
      <c r="U162" t="s">
        <v>576</v>
      </c>
      <c r="V162" t="s">
        <v>39</v>
      </c>
      <c r="W162" t="n" s="2">
        <v>-2.5</v>
      </c>
    </row>
    <row r="163">
      <c r="A163" t="s" s="0">
        <v>570</v>
      </c>
      <c r="B163" t="s" s="0">
        <v>24</v>
      </c>
      <c r="C163" t="s" s="0">
        <v>383</v>
      </c>
      <c r="D163" t="s" s="0">
        <v>571</v>
      </c>
      <c r="E163" t="s" s="0">
        <v>436</v>
      </c>
      <c r="F163" t="s" s="0">
        <v>572</v>
      </c>
      <c r="G163" t="s" s="0">
        <v>99</v>
      </c>
      <c r="H163" t="s" s="0">
        <v>577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53</v>
      </c>
      <c r="P163" t="s">
        <v>33</v>
      </c>
      <c r="Q163" t="s">
        <v>33</v>
      </c>
      <c r="R163" t="s">
        <v>33</v>
      </c>
      <c r="S163" t="s">
        <v>49</v>
      </c>
      <c r="T163" t="n" s="2">
        <v>8.5</v>
      </c>
      <c r="U163" t="s">
        <v>39</v>
      </c>
      <c r="V163" t="s">
        <v>39</v>
      </c>
      <c r="W163" t="s">
        <v>39</v>
      </c>
    </row>
    <row r="164">
      <c r="A164" t="s" s="0">
        <v>570</v>
      </c>
      <c r="B164" t="s" s="0">
        <v>24</v>
      </c>
      <c r="C164" t="s" s="0">
        <v>383</v>
      </c>
      <c r="D164" t="s" s="0">
        <v>571</v>
      </c>
      <c r="E164" t="s" s="0">
        <v>436</v>
      </c>
      <c r="F164" t="s" s="0">
        <v>572</v>
      </c>
      <c r="G164" t="s" s="0">
        <v>76</v>
      </c>
      <c r="H164" t="s" s="0">
        <v>578</v>
      </c>
      <c r="I164" t="s" s="0">
        <v>31</v>
      </c>
      <c r="J164" t="n" s="2">
        <v>11.5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53</v>
      </c>
      <c r="P164" t="s">
        <v>579</v>
      </c>
      <c r="Q164" t="s">
        <v>33</v>
      </c>
      <c r="R164" t="s">
        <v>580</v>
      </c>
      <c r="S164" t="s">
        <v>51</v>
      </c>
      <c r="T164" t="n" s="2">
        <v>9.2</v>
      </c>
      <c r="U164" t="s">
        <v>581</v>
      </c>
      <c r="V164" t="s">
        <v>39</v>
      </c>
      <c r="W164" t="n" s="2">
        <v>-2.3</v>
      </c>
    </row>
    <row r="165">
      <c r="A165" t="s" s="0">
        <v>570</v>
      </c>
      <c r="B165" t="s" s="0">
        <v>24</v>
      </c>
      <c r="C165" t="s" s="0">
        <v>383</v>
      </c>
      <c r="D165" t="s" s="0">
        <v>571</v>
      </c>
      <c r="E165" t="s" s="0">
        <v>436</v>
      </c>
      <c r="F165" t="s" s="0">
        <v>572</v>
      </c>
      <c r="G165" t="s" s="0">
        <v>76</v>
      </c>
      <c r="H165" t="s" s="0">
        <v>582</v>
      </c>
      <c r="I165" t="s" s="0">
        <v>31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53</v>
      </c>
      <c r="P165" t="s">
        <v>583</v>
      </c>
      <c r="Q165" t="s">
        <v>33</v>
      </c>
      <c r="R165" t="s">
        <v>584</v>
      </c>
      <c r="S165" t="s">
        <v>53</v>
      </c>
      <c r="T165" t="n" s="2">
        <v>9.2</v>
      </c>
      <c r="U165" t="s">
        <v>585</v>
      </c>
      <c r="V165" t="s">
        <v>39</v>
      </c>
      <c r="W165" t="n" s="2">
        <v>-3.8</v>
      </c>
    </row>
    <row r="166">
      <c r="A166" t="s" s="0">
        <v>570</v>
      </c>
      <c r="B166" t="s" s="0">
        <v>24</v>
      </c>
      <c r="C166" t="s" s="0">
        <v>383</v>
      </c>
      <c r="D166" t="s" s="0">
        <v>571</v>
      </c>
      <c r="E166" t="s" s="0">
        <v>436</v>
      </c>
      <c r="F166" t="s" s="0">
        <v>572</v>
      </c>
      <c r="G166" t="s" s="0">
        <v>29</v>
      </c>
      <c r="H166" t="s" s="0">
        <v>586</v>
      </c>
      <c r="I166" t="s" s="0">
        <v>31</v>
      </c>
      <c r="J166" t="n" s="2">
        <v>13.0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53</v>
      </c>
      <c r="P166" t="s">
        <v>587</v>
      </c>
      <c r="Q166" t="s">
        <v>33</v>
      </c>
      <c r="R166" t="s">
        <v>588</v>
      </c>
      <c r="S166" t="s">
        <v>55</v>
      </c>
      <c r="T166" t="n" s="2">
        <v>9.8</v>
      </c>
      <c r="U166" t="s">
        <v>589</v>
      </c>
      <c r="V166" t="s">
        <v>39</v>
      </c>
      <c r="W166" t="n" s="2">
        <v>-3.2</v>
      </c>
    </row>
    <row r="167">
      <c r="A167" t="s" s="0">
        <v>570</v>
      </c>
      <c r="B167" t="s" s="0">
        <v>24</v>
      </c>
      <c r="C167" t="s" s="0">
        <v>383</v>
      </c>
      <c r="D167" t="s" s="0">
        <v>571</v>
      </c>
      <c r="E167" t="s" s="0">
        <v>436</v>
      </c>
      <c r="F167" t="s" s="0">
        <v>572</v>
      </c>
      <c r="G167" t="s" s="0">
        <v>29</v>
      </c>
      <c r="H167" t="s" s="0">
        <v>590</v>
      </c>
      <c r="I167" t="s" s="0">
        <v>31</v>
      </c>
      <c r="J167" t="n" s="2">
        <v>12.0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53</v>
      </c>
      <c r="P167" t="s">
        <v>591</v>
      </c>
      <c r="Q167" t="s">
        <v>33</v>
      </c>
      <c r="R167" t="s">
        <v>592</v>
      </c>
      <c r="S167" t="s">
        <v>60</v>
      </c>
      <c r="T167" t="n" s="2">
        <v>9.8</v>
      </c>
      <c r="U167" t="s">
        <v>593</v>
      </c>
      <c r="V167" t="s">
        <v>39</v>
      </c>
      <c r="W167" t="n" s="2">
        <v>-2.2</v>
      </c>
    </row>
    <row r="168">
      <c r="A168" t="s" s="0">
        <v>570</v>
      </c>
      <c r="B168" t="s" s="0">
        <v>24</v>
      </c>
      <c r="C168" t="s" s="0">
        <v>383</v>
      </c>
      <c r="D168" t="s" s="0">
        <v>571</v>
      </c>
      <c r="E168" t="s" s="0">
        <v>436</v>
      </c>
      <c r="F168" t="s" s="0">
        <v>572</v>
      </c>
      <c r="G168" t="s" s="0">
        <v>29</v>
      </c>
      <c r="H168" t="s" s="0">
        <v>594</v>
      </c>
      <c r="I168" t="s" s="0">
        <v>31</v>
      </c>
      <c r="J168" t="n" s="2">
        <v>13.5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53</v>
      </c>
      <c r="P168" t="s">
        <v>595</v>
      </c>
      <c r="Q168" t="s">
        <v>33</v>
      </c>
      <c r="R168" t="s">
        <v>596</v>
      </c>
      <c r="S168" t="s">
        <v>62</v>
      </c>
      <c r="T168" t="n" s="2">
        <v>9.8</v>
      </c>
      <c r="U168" t="s">
        <v>597</v>
      </c>
      <c r="V168" t="s">
        <v>39</v>
      </c>
      <c r="W168" t="n" s="2">
        <v>-3.7</v>
      </c>
    </row>
    <row r="169">
      <c r="A169" t="s" s="0">
        <v>570</v>
      </c>
      <c r="B169" t="s" s="0">
        <v>24</v>
      </c>
      <c r="C169" t="s" s="0">
        <v>383</v>
      </c>
      <c r="D169" t="s" s="0">
        <v>571</v>
      </c>
      <c r="E169" t="s" s="0">
        <v>436</v>
      </c>
      <c r="F169" t="s" s="0">
        <v>572</v>
      </c>
      <c r="G169" t="s" s="0">
        <v>29</v>
      </c>
      <c r="H169" t="s" s="0">
        <v>598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</v>
      </c>
      <c r="O169" t="s">
        <v>53</v>
      </c>
      <c r="P169" t="s">
        <v>33</v>
      </c>
      <c r="Q169" t="s">
        <v>33</v>
      </c>
      <c r="R169" t="s">
        <v>33</v>
      </c>
      <c r="S169" t="s">
        <v>67</v>
      </c>
      <c r="T169" t="n" s="2">
        <v>9.8</v>
      </c>
      <c r="U169" t="s">
        <v>39</v>
      </c>
      <c r="V169" t="s">
        <v>39</v>
      </c>
      <c r="W169" t="s">
        <v>39</v>
      </c>
    </row>
    <row r="170">
      <c r="A170" t="s" s="0">
        <v>599</v>
      </c>
      <c r="B170" t="s" s="0">
        <v>24</v>
      </c>
      <c r="C170" t="s" s="0">
        <v>383</v>
      </c>
      <c r="D170" t="s" s="0">
        <v>600</v>
      </c>
      <c r="E170" t="s" s="0">
        <v>436</v>
      </c>
      <c r="F170" t="s" s="0">
        <v>601</v>
      </c>
      <c r="G170" t="s" s="0">
        <v>99</v>
      </c>
      <c r="H170" t="s" s="0">
        <v>602</v>
      </c>
      <c r="I170" t="s" s="0">
        <v>31</v>
      </c>
      <c r="J170" t="n" s="2">
        <v>9.8</v>
      </c>
      <c r="K170" t="s">
        <v>33</v>
      </c>
      <c r="L170" t="s">
        <v>33</v>
      </c>
      <c r="M170" s="3">
        <f>IFERROR(K170/J170,0)</f>
      </c>
      <c r="N170" t="s">
        <v>603</v>
      </c>
      <c r="O170" t="s">
        <v>51</v>
      </c>
      <c r="P170" t="s">
        <v>604</v>
      </c>
      <c r="Q170" t="s">
        <v>33</v>
      </c>
      <c r="R170" t="s">
        <v>605</v>
      </c>
      <c r="S170" t="s">
        <v>42</v>
      </c>
      <c r="T170" t="n" s="2">
        <v>8.22</v>
      </c>
      <c r="U170" t="s">
        <v>606</v>
      </c>
      <c r="V170" t="s">
        <v>39</v>
      </c>
      <c r="W170" t="n" s="2">
        <v>-1.58</v>
      </c>
    </row>
    <row r="171">
      <c r="A171" t="s" s="0">
        <v>599</v>
      </c>
      <c r="B171" t="s" s="0">
        <v>24</v>
      </c>
      <c r="C171" t="s" s="0">
        <v>383</v>
      </c>
      <c r="D171" t="s" s="0">
        <v>600</v>
      </c>
      <c r="E171" t="s" s="0">
        <v>436</v>
      </c>
      <c r="F171" t="s" s="0">
        <v>601</v>
      </c>
      <c r="G171" t="s" s="0">
        <v>99</v>
      </c>
      <c r="H171" t="s" s="0">
        <v>607</v>
      </c>
      <c r="I171" t="s" s="0">
        <v>31</v>
      </c>
      <c r="J171" t="n" s="2">
        <v>10.0</v>
      </c>
      <c r="K171" t="s">
        <v>33</v>
      </c>
      <c r="L171" t="s">
        <v>33</v>
      </c>
      <c r="M171" s="3">
        <f>IFERROR(K171/J171,0)</f>
      </c>
      <c r="N171" t="s">
        <v>603</v>
      </c>
      <c r="O171" t="s">
        <v>51</v>
      </c>
      <c r="P171" t="s">
        <v>608</v>
      </c>
      <c r="Q171" t="s">
        <v>33</v>
      </c>
      <c r="R171" t="s">
        <v>609</v>
      </c>
      <c r="S171" t="s">
        <v>49</v>
      </c>
      <c r="T171" t="n" s="2">
        <v>8.22</v>
      </c>
      <c r="U171" t="s">
        <v>610</v>
      </c>
      <c r="V171" t="s">
        <v>39</v>
      </c>
      <c r="W171" t="n" s="2">
        <v>-1.78</v>
      </c>
    </row>
    <row r="172">
      <c r="A172" t="s" s="0">
        <v>599</v>
      </c>
      <c r="B172" t="s" s="0">
        <v>24</v>
      </c>
      <c r="C172" t="s" s="0">
        <v>383</v>
      </c>
      <c r="D172" t="s" s="0">
        <v>600</v>
      </c>
      <c r="E172" t="s" s="0">
        <v>436</v>
      </c>
      <c r="F172" t="s" s="0">
        <v>601</v>
      </c>
      <c r="G172" t="s" s="0">
        <v>76</v>
      </c>
      <c r="H172" t="s" s="0">
        <v>611</v>
      </c>
      <c r="I172" t="s" s="0">
        <v>31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603</v>
      </c>
      <c r="O172" t="s">
        <v>51</v>
      </c>
      <c r="P172" t="s">
        <v>612</v>
      </c>
      <c r="Q172" t="s">
        <v>33</v>
      </c>
      <c r="R172" t="s">
        <v>613</v>
      </c>
      <c r="S172" t="s">
        <v>51</v>
      </c>
      <c r="T172" t="n" s="2">
        <v>9.1</v>
      </c>
      <c r="U172" t="s">
        <v>614</v>
      </c>
      <c r="V172" t="s">
        <v>39</v>
      </c>
      <c r="W172" t="n" s="2">
        <v>-2.4</v>
      </c>
    </row>
    <row r="173">
      <c r="A173" t="s" s="0">
        <v>599</v>
      </c>
      <c r="B173" t="s" s="0">
        <v>24</v>
      </c>
      <c r="C173" t="s" s="0">
        <v>383</v>
      </c>
      <c r="D173" t="s" s="0">
        <v>600</v>
      </c>
      <c r="E173" t="s" s="0">
        <v>436</v>
      </c>
      <c r="F173" t="s" s="0">
        <v>601</v>
      </c>
      <c r="G173" t="s" s="0">
        <v>76</v>
      </c>
      <c r="H173" t="s" s="0">
        <v>615</v>
      </c>
      <c r="I173" t="s" s="0">
        <v>31</v>
      </c>
      <c r="J173" t="n" s="2">
        <v>11.5</v>
      </c>
      <c r="K173" t="s">
        <v>33</v>
      </c>
      <c r="L173" t="s">
        <v>33</v>
      </c>
      <c r="M173" s="3">
        <f>IFERROR(K173/J173,0)</f>
      </c>
      <c r="N173" t="s">
        <v>603</v>
      </c>
      <c r="O173" t="s">
        <v>51</v>
      </c>
      <c r="P173" t="s">
        <v>616</v>
      </c>
      <c r="Q173" t="s">
        <v>33</v>
      </c>
      <c r="R173" t="s">
        <v>617</v>
      </c>
      <c r="S173" t="s">
        <v>53</v>
      </c>
      <c r="T173" t="n" s="2">
        <v>9.1</v>
      </c>
      <c r="U173" t="s">
        <v>614</v>
      </c>
      <c r="V173" t="s">
        <v>39</v>
      </c>
      <c r="W173" t="n" s="2">
        <v>-2.4</v>
      </c>
    </row>
    <row r="174">
      <c r="A174" t="s" s="0">
        <v>599</v>
      </c>
      <c r="B174" t="s" s="0">
        <v>24</v>
      </c>
      <c r="C174" t="s" s="0">
        <v>383</v>
      </c>
      <c r="D174" t="s" s="0">
        <v>600</v>
      </c>
      <c r="E174" t="s" s="0">
        <v>436</v>
      </c>
      <c r="F174" t="s" s="0">
        <v>601</v>
      </c>
      <c r="G174" t="s" s="0">
        <v>29</v>
      </c>
      <c r="H174" t="s" s="0">
        <v>618</v>
      </c>
      <c r="I174" t="s" s="0">
        <v>31</v>
      </c>
      <c r="J174" t="n" s="2">
        <v>11.5</v>
      </c>
      <c r="K174" t="n" s="2">
        <v>5.5</v>
      </c>
      <c r="L174" t="n" s="2">
        <v>6.0</v>
      </c>
      <c r="M174" s="3">
        <f>IFERROR(K174/J174,0)</f>
      </c>
      <c r="N174" t="s">
        <v>603</v>
      </c>
      <c r="O174" t="s">
        <v>51</v>
      </c>
      <c r="P174" t="s">
        <v>619</v>
      </c>
      <c r="Q174" t="s">
        <v>620</v>
      </c>
      <c r="R174" t="s">
        <v>621</v>
      </c>
      <c r="S174" t="s">
        <v>55</v>
      </c>
      <c r="T174" t="n" s="2">
        <v>10.0</v>
      </c>
      <c r="U174" t="s">
        <v>622</v>
      </c>
      <c r="V174" t="s">
        <v>623</v>
      </c>
      <c r="W174" t="n" s="2">
        <v>-1.5</v>
      </c>
    </row>
    <row r="175">
      <c r="A175" t="s" s="0">
        <v>599</v>
      </c>
      <c r="B175" t="s" s="0">
        <v>24</v>
      </c>
      <c r="C175" t="s" s="0">
        <v>383</v>
      </c>
      <c r="D175" t="s" s="0">
        <v>600</v>
      </c>
      <c r="E175" t="s" s="0">
        <v>436</v>
      </c>
      <c r="F175" t="s" s="0">
        <v>601</v>
      </c>
      <c r="G175" t="s" s="0">
        <v>29</v>
      </c>
      <c r="H175" t="s" s="0">
        <v>624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603</v>
      </c>
      <c r="O175" t="s">
        <v>51</v>
      </c>
      <c r="P175" t="s">
        <v>33</v>
      </c>
      <c r="Q175" t="s">
        <v>33</v>
      </c>
      <c r="R175" t="s">
        <v>33</v>
      </c>
      <c r="S175" t="s">
        <v>60</v>
      </c>
      <c r="T175" t="n" s="2">
        <v>10.0</v>
      </c>
      <c r="U175" t="s">
        <v>39</v>
      </c>
      <c r="V175" t="s">
        <v>39</v>
      </c>
      <c r="W175" t="s">
        <v>39</v>
      </c>
    </row>
    <row r="176">
      <c r="A176" t="s" s="0">
        <v>599</v>
      </c>
      <c r="B176" t="s" s="0">
        <v>24</v>
      </c>
      <c r="C176" t="s" s="0">
        <v>383</v>
      </c>
      <c r="D176" t="s" s="0">
        <v>600</v>
      </c>
      <c r="E176" t="s" s="0">
        <v>436</v>
      </c>
      <c r="F176" t="s" s="0">
        <v>601</v>
      </c>
      <c r="G176" t="s" s="0">
        <v>29</v>
      </c>
      <c r="H176" t="s" s="0">
        <v>625</v>
      </c>
      <c r="I176" t="s" s="0">
        <v>31</v>
      </c>
      <c r="J176" t="n" s="2">
        <v>14.0</v>
      </c>
      <c r="K176" t="s">
        <v>33</v>
      </c>
      <c r="L176" t="s">
        <v>33</v>
      </c>
      <c r="M176" s="3">
        <f>IFERROR(K176/J176,0)</f>
      </c>
      <c r="N176" t="s">
        <v>603</v>
      </c>
      <c r="O176" t="s">
        <v>51</v>
      </c>
      <c r="P176" t="s">
        <v>626</v>
      </c>
      <c r="Q176" t="s">
        <v>33</v>
      </c>
      <c r="R176" t="s">
        <v>627</v>
      </c>
      <c r="S176" t="s">
        <v>62</v>
      </c>
      <c r="T176" t="n" s="2">
        <v>10.0</v>
      </c>
      <c r="U176" t="s">
        <v>628</v>
      </c>
      <c r="V176" t="s">
        <v>39</v>
      </c>
      <c r="W176" t="n" s="2">
        <v>-4.0</v>
      </c>
    </row>
    <row r="177">
      <c r="A177" t="s" s="0">
        <v>599</v>
      </c>
      <c r="B177" t="s" s="0">
        <v>24</v>
      </c>
      <c r="C177" t="s" s="0">
        <v>383</v>
      </c>
      <c r="D177" t="s" s="0">
        <v>600</v>
      </c>
      <c r="E177" t="s" s="0">
        <v>436</v>
      </c>
      <c r="F177" t="s" s="0">
        <v>601</v>
      </c>
      <c r="G177" t="s" s="0">
        <v>29</v>
      </c>
      <c r="H177" t="s" s="0">
        <v>629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603</v>
      </c>
      <c r="O177" t="s">
        <v>51</v>
      </c>
      <c r="P177" t="s">
        <v>33</v>
      </c>
      <c r="Q177" t="s">
        <v>33</v>
      </c>
      <c r="R177" t="s">
        <v>33</v>
      </c>
      <c r="S177" t="s">
        <v>67</v>
      </c>
      <c r="T177" t="n" s="2">
        <v>10.0</v>
      </c>
      <c r="U177" t="s">
        <v>39</v>
      </c>
      <c r="V177" t="s">
        <v>39</v>
      </c>
      <c r="W177" t="s">
        <v>39</v>
      </c>
    </row>
    <row r="178">
      <c r="A178" t="s" s="0">
        <v>599</v>
      </c>
      <c r="B178" t="s" s="0">
        <v>24</v>
      </c>
      <c r="C178" t="s" s="0">
        <v>383</v>
      </c>
      <c r="D178" t="s" s="0">
        <v>600</v>
      </c>
      <c r="E178" t="s" s="0">
        <v>436</v>
      </c>
      <c r="F178" t="s" s="0">
        <v>601</v>
      </c>
      <c r="G178" t="s" s="0">
        <v>29</v>
      </c>
      <c r="H178" t="s" s="0">
        <v>630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603</v>
      </c>
      <c r="O178" t="s">
        <v>51</v>
      </c>
      <c r="P178" t="s">
        <v>33</v>
      </c>
      <c r="Q178" t="s">
        <v>33</v>
      </c>
      <c r="R178" t="s">
        <v>33</v>
      </c>
      <c r="S178" t="s">
        <v>69</v>
      </c>
      <c r="T178" t="n" s="2">
        <v>10.0</v>
      </c>
      <c r="U178" t="s">
        <v>39</v>
      </c>
      <c r="V178" t="s">
        <v>39</v>
      </c>
      <c r="W178" t="s">
        <v>39</v>
      </c>
    </row>
    <row r="179">
      <c r="A179" t="s" s="0">
        <v>631</v>
      </c>
      <c r="B179" t="s" s="0">
        <v>24</v>
      </c>
      <c r="C179" t="s" s="0">
        <v>92</v>
      </c>
      <c r="D179" t="s" s="0">
        <v>632</v>
      </c>
      <c r="E179" t="s" s="0">
        <v>410</v>
      </c>
      <c r="F179" t="s" s="0">
        <v>633</v>
      </c>
      <c r="G179" t="s" s="0">
        <v>122</v>
      </c>
      <c r="H179" t="s" s="0">
        <v>634</v>
      </c>
      <c r="I179" t="s" s="0">
        <v>124</v>
      </c>
      <c r="J179" t="n" s="2">
        <v>11.0</v>
      </c>
      <c r="K179" t="n" s="2">
        <v>4.7</v>
      </c>
      <c r="L179" t="n" s="2">
        <v>6.3</v>
      </c>
      <c r="M179" s="3">
        <f>IFERROR(K179/J179,0)</f>
      </c>
      <c r="N179" t="s">
        <v>62</v>
      </c>
      <c r="O179" t="s">
        <v>60</v>
      </c>
      <c r="P179" t="s">
        <v>635</v>
      </c>
      <c r="Q179" t="s">
        <v>636</v>
      </c>
      <c r="R179" t="s">
        <v>637</v>
      </c>
      <c r="S179" t="s">
        <v>42</v>
      </c>
      <c r="T179" t="n" s="2">
        <v>7.8</v>
      </c>
      <c r="U179" t="s">
        <v>638</v>
      </c>
      <c r="V179" t="s">
        <v>639</v>
      </c>
      <c r="W179" t="n" s="2">
        <v>-3.2</v>
      </c>
    </row>
    <row r="180">
      <c r="A180" t="s" s="0">
        <v>631</v>
      </c>
      <c r="B180" t="s" s="0">
        <v>24</v>
      </c>
      <c r="C180" t="s" s="0">
        <v>92</v>
      </c>
      <c r="D180" t="s" s="0">
        <v>632</v>
      </c>
      <c r="E180" t="s" s="0">
        <v>410</v>
      </c>
      <c r="F180" t="s" s="0">
        <v>633</v>
      </c>
      <c r="G180" t="s" s="0">
        <v>99</v>
      </c>
      <c r="H180" t="s" s="0">
        <v>640</v>
      </c>
      <c r="I180" t="s" s="0">
        <v>31</v>
      </c>
      <c r="J180" t="n" s="2">
        <v>12.0</v>
      </c>
      <c r="K180" t="n" s="2">
        <v>6.5</v>
      </c>
      <c r="L180" t="n" s="2">
        <v>5.5</v>
      </c>
      <c r="M180" s="3">
        <f>IFERROR(K180/J180,0)</f>
      </c>
      <c r="N180" t="s">
        <v>62</v>
      </c>
      <c r="O180" t="s">
        <v>60</v>
      </c>
      <c r="P180" t="s">
        <v>641</v>
      </c>
      <c r="Q180" t="s">
        <v>642</v>
      </c>
      <c r="R180" t="s">
        <v>643</v>
      </c>
      <c r="S180" t="s">
        <v>49</v>
      </c>
      <c r="T180" t="n" s="2">
        <v>9.05</v>
      </c>
      <c r="U180" t="s">
        <v>644</v>
      </c>
      <c r="V180" t="s">
        <v>645</v>
      </c>
      <c r="W180" t="n" s="2">
        <v>-2.95</v>
      </c>
    </row>
    <row r="181">
      <c r="A181" t="s" s="0">
        <v>646</v>
      </c>
      <c r="B181" t="s" s="0">
        <v>24</v>
      </c>
      <c r="C181" t="s" s="0">
        <v>92</v>
      </c>
      <c r="D181" t="s" s="0">
        <v>647</v>
      </c>
      <c r="E181" t="s" s="0">
        <v>410</v>
      </c>
      <c r="F181" t="s" s="0">
        <v>648</v>
      </c>
      <c r="G181" t="s" s="0">
        <v>99</v>
      </c>
      <c r="H181" t="s" s="0">
        <v>649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51</v>
      </c>
      <c r="O181" t="s">
        <v>42</v>
      </c>
      <c r="P181" t="s">
        <v>33</v>
      </c>
      <c r="Q181" t="s">
        <v>33</v>
      </c>
      <c r="R181" t="s">
        <v>33</v>
      </c>
      <c r="S181" t="s">
        <v>53</v>
      </c>
      <c r="T181" t="n" s="2">
        <v>9.2</v>
      </c>
      <c r="U181" t="s">
        <v>39</v>
      </c>
      <c r="V181" t="s">
        <v>39</v>
      </c>
      <c r="W181" t="s">
        <v>39</v>
      </c>
    </row>
    <row r="182">
      <c r="A182" t="s" s="0">
        <v>646</v>
      </c>
      <c r="B182" t="s" s="0">
        <v>24</v>
      </c>
      <c r="C182" t="s" s="0">
        <v>92</v>
      </c>
      <c r="D182" t="s" s="0">
        <v>647</v>
      </c>
      <c r="E182" t="s" s="0">
        <v>410</v>
      </c>
      <c r="F182" t="s" s="0">
        <v>648</v>
      </c>
      <c r="G182" t="s" s="0">
        <v>99</v>
      </c>
      <c r="H182" t="s" s="0">
        <v>650</v>
      </c>
      <c r="I182" t="s" s="0">
        <v>31</v>
      </c>
      <c r="J182" t="s" s="0">
        <v>33</v>
      </c>
      <c r="K182" t="n" s="2">
        <v>6.5</v>
      </c>
      <c r="L182" t="s">
        <v>33</v>
      </c>
      <c r="M182" s="3">
        <f>IFERROR(K182/J182,0)</f>
      </c>
      <c r="N182" t="s">
        <v>51</v>
      </c>
      <c r="O182" t="s">
        <v>42</v>
      </c>
      <c r="P182" t="s">
        <v>33</v>
      </c>
      <c r="Q182" t="s">
        <v>651</v>
      </c>
      <c r="R182" t="s">
        <v>33</v>
      </c>
      <c r="S182" t="s">
        <v>55</v>
      </c>
      <c r="T182" t="n" s="2">
        <v>9.2</v>
      </c>
      <c r="U182" t="s">
        <v>39</v>
      </c>
      <c r="V182" t="s">
        <v>39</v>
      </c>
      <c r="W182" t="s">
        <v>39</v>
      </c>
    </row>
    <row r="183">
      <c r="A183" t="s" s="0">
        <v>646</v>
      </c>
      <c r="B183" t="s" s="0">
        <v>24</v>
      </c>
      <c r="C183" t="s" s="0">
        <v>92</v>
      </c>
      <c r="D183" t="s" s="0">
        <v>647</v>
      </c>
      <c r="E183" t="s" s="0">
        <v>410</v>
      </c>
      <c r="F183" t="s" s="0">
        <v>648</v>
      </c>
      <c r="G183" t="s" s="0">
        <v>29</v>
      </c>
      <c r="H183" t="s" s="0">
        <v>652</v>
      </c>
      <c r="I183" t="s" s="0">
        <v>31</v>
      </c>
      <c r="J183" t="n" s="2">
        <v>14.5</v>
      </c>
      <c r="K183" t="s">
        <v>33</v>
      </c>
      <c r="L183" t="s">
        <v>33</v>
      </c>
      <c r="M183" s="3">
        <f>IFERROR(K183/J183,0)</f>
      </c>
      <c r="N183" t="s">
        <v>51</v>
      </c>
      <c r="O183" t="s">
        <v>42</v>
      </c>
      <c r="P183" t="s">
        <v>653</v>
      </c>
      <c r="Q183" t="s">
        <v>33</v>
      </c>
      <c r="R183" t="s">
        <v>654</v>
      </c>
      <c r="S183" t="s">
        <v>60</v>
      </c>
      <c r="T183" t="n" s="2">
        <v>12.3</v>
      </c>
      <c r="U183" t="s">
        <v>655</v>
      </c>
      <c r="V183" t="s">
        <v>39</v>
      </c>
      <c r="W183" t="n" s="2">
        <v>-2.2</v>
      </c>
    </row>
    <row r="184">
      <c r="A184" t="s" s="0">
        <v>656</v>
      </c>
      <c r="B184" t="s" s="0">
        <v>163</v>
      </c>
      <c r="C184" t="s" s="0">
        <v>317</v>
      </c>
      <c r="D184" t="s" s="0">
        <v>657</v>
      </c>
      <c r="E184" t="s" s="0">
        <v>332</v>
      </c>
      <c r="F184" t="s" s="0">
        <v>658</v>
      </c>
      <c r="G184" t="s" s="0">
        <v>29</v>
      </c>
      <c r="H184" t="s" s="0">
        <v>659</v>
      </c>
      <c r="I184" t="s" s="0">
        <v>31</v>
      </c>
      <c r="J184" t="n" s="2">
        <v>12.02</v>
      </c>
      <c r="K184" t="s">
        <v>33</v>
      </c>
      <c r="L184" t="s">
        <v>33</v>
      </c>
      <c r="M184" s="3">
        <f>IFERROR(K184/J184,0)</f>
      </c>
      <c r="N184" t="s">
        <v>660</v>
      </c>
      <c r="O184" t="s">
        <v>42</v>
      </c>
      <c r="P184" t="s">
        <v>85</v>
      </c>
      <c r="Q184" t="s">
        <v>33</v>
      </c>
      <c r="R184" t="s">
        <v>661</v>
      </c>
      <c r="S184" t="s">
        <v>42</v>
      </c>
      <c r="T184" t="n" s="2">
        <v>12.54</v>
      </c>
      <c r="U184" t="s">
        <v>662</v>
      </c>
      <c r="V184" t="s">
        <v>39</v>
      </c>
      <c r="W184" t="n" s="2">
        <v>0.52</v>
      </c>
    </row>
    <row r="185">
      <c r="A185" t="s" s="0">
        <v>656</v>
      </c>
      <c r="B185" t="s" s="0">
        <v>163</v>
      </c>
      <c r="C185" t="s" s="0">
        <v>317</v>
      </c>
      <c r="D185" t="s" s="0">
        <v>657</v>
      </c>
      <c r="E185" t="s" s="0">
        <v>332</v>
      </c>
      <c r="F185" t="s" s="0">
        <v>658</v>
      </c>
      <c r="G185" t="s" s="0">
        <v>29</v>
      </c>
      <c r="H185" t="s" s="0">
        <v>321</v>
      </c>
      <c r="I185" t="s" s="0">
        <v>31</v>
      </c>
      <c r="J185" t="n" s="2">
        <v>12.31</v>
      </c>
      <c r="K185" t="s">
        <v>33</v>
      </c>
      <c r="L185" t="s">
        <v>33</v>
      </c>
      <c r="M185" s="3">
        <f>IFERROR(K185/J185,0)</f>
      </c>
      <c r="N185" t="s">
        <v>660</v>
      </c>
      <c r="O185" t="s">
        <v>42</v>
      </c>
      <c r="P185" t="s">
        <v>663</v>
      </c>
      <c r="Q185" t="s">
        <v>33</v>
      </c>
      <c r="R185" t="s">
        <v>664</v>
      </c>
      <c r="S185" t="s">
        <v>49</v>
      </c>
      <c r="T185" t="n" s="2">
        <v>12.54</v>
      </c>
      <c r="U185" t="s">
        <v>665</v>
      </c>
      <c r="V185" t="s">
        <v>39</v>
      </c>
      <c r="W185" t="n" s="2">
        <v>0.23</v>
      </c>
    </row>
    <row r="186">
      <c r="A186" t="s" s="0">
        <v>656</v>
      </c>
      <c r="B186" t="s" s="0">
        <v>163</v>
      </c>
      <c r="C186" t="s" s="0">
        <v>317</v>
      </c>
      <c r="D186" t="s" s="0">
        <v>657</v>
      </c>
      <c r="E186" t="s" s="0">
        <v>332</v>
      </c>
      <c r="F186" t="s" s="0">
        <v>658</v>
      </c>
      <c r="G186" t="s" s="0">
        <v>29</v>
      </c>
      <c r="H186" t="s" s="0">
        <v>666</v>
      </c>
      <c r="I186" t="s" s="0">
        <v>31</v>
      </c>
      <c r="J186" t="n" s="2">
        <v>12.23</v>
      </c>
      <c r="K186" t="n" s="2">
        <v>7.3</v>
      </c>
      <c r="L186" t="n" s="2">
        <v>4.93</v>
      </c>
      <c r="M186" s="3">
        <f>IFERROR(K186/J186,0)</f>
      </c>
      <c r="N186" t="s">
        <v>660</v>
      </c>
      <c r="O186" t="s">
        <v>42</v>
      </c>
      <c r="P186" t="s">
        <v>667</v>
      </c>
      <c r="Q186" t="s">
        <v>668</v>
      </c>
      <c r="R186" t="s">
        <v>669</v>
      </c>
      <c r="S186" t="s">
        <v>51</v>
      </c>
      <c r="T186" t="n" s="2">
        <v>12.54</v>
      </c>
      <c r="U186" t="s">
        <v>670</v>
      </c>
      <c r="V186" t="s">
        <v>154</v>
      </c>
      <c r="W186" t="n" s="2">
        <v>0.31</v>
      </c>
    </row>
    <row r="187">
      <c r="A187" t="s" s="0">
        <v>656</v>
      </c>
      <c r="B187" t="s" s="0">
        <v>163</v>
      </c>
      <c r="C187" t="s" s="0">
        <v>317</v>
      </c>
      <c r="D187" t="s" s="0">
        <v>657</v>
      </c>
      <c r="E187" t="s" s="0">
        <v>332</v>
      </c>
      <c r="F187" t="s" s="0">
        <v>658</v>
      </c>
      <c r="G187" t="s" s="0">
        <v>29</v>
      </c>
      <c r="H187" t="s" s="0">
        <v>671</v>
      </c>
      <c r="I187" t="s" s="0">
        <v>31</v>
      </c>
      <c r="J187" t="n" s="2">
        <v>12.28</v>
      </c>
      <c r="K187" t="s">
        <v>33</v>
      </c>
      <c r="L187" t="s">
        <v>33</v>
      </c>
      <c r="M187" s="3">
        <f>IFERROR(K187/J187,0)</f>
      </c>
      <c r="N187" t="s">
        <v>660</v>
      </c>
      <c r="O187" t="s">
        <v>42</v>
      </c>
      <c r="P187" t="s">
        <v>672</v>
      </c>
      <c r="Q187" t="s">
        <v>33</v>
      </c>
      <c r="R187" t="s">
        <v>673</v>
      </c>
      <c r="S187" t="s">
        <v>53</v>
      </c>
      <c r="T187" t="n" s="2">
        <v>12.54</v>
      </c>
      <c r="U187" t="s">
        <v>674</v>
      </c>
      <c r="V187" t="s">
        <v>39</v>
      </c>
      <c r="W187" t="n" s="2">
        <v>0.26</v>
      </c>
    </row>
    <row r="188">
      <c r="A188" t="s" s="0">
        <v>656</v>
      </c>
      <c r="B188" t="s" s="0">
        <v>163</v>
      </c>
      <c r="C188" t="s" s="0">
        <v>317</v>
      </c>
      <c r="D188" t="s" s="0">
        <v>657</v>
      </c>
      <c r="E188" t="s" s="0">
        <v>332</v>
      </c>
      <c r="F188" t="s" s="0">
        <v>658</v>
      </c>
      <c r="G188" t="s" s="0">
        <v>29</v>
      </c>
      <c r="H188" t="s" s="0">
        <v>450</v>
      </c>
      <c r="I188" t="s" s="0">
        <v>31</v>
      </c>
      <c r="J188" t="n" s="2">
        <v>12.4</v>
      </c>
      <c r="K188" t="s">
        <v>33</v>
      </c>
      <c r="L188" t="s">
        <v>33</v>
      </c>
      <c r="M188" s="3">
        <f>IFERROR(K188/J188,0)</f>
      </c>
      <c r="N188" t="s">
        <v>660</v>
      </c>
      <c r="O188" t="s">
        <v>42</v>
      </c>
      <c r="P188" t="s">
        <v>675</v>
      </c>
      <c r="Q188" t="s">
        <v>33</v>
      </c>
      <c r="R188" t="s">
        <v>676</v>
      </c>
      <c r="S188" t="s">
        <v>55</v>
      </c>
      <c r="T188" t="n" s="2">
        <v>12.54</v>
      </c>
      <c r="U188" t="s">
        <v>38</v>
      </c>
      <c r="V188" t="s">
        <v>39</v>
      </c>
      <c r="W188" t="n" s="2">
        <v>0.14</v>
      </c>
    </row>
    <row r="189">
      <c r="A189" t="s" s="0">
        <v>677</v>
      </c>
      <c r="B189" t="s" s="0">
        <v>163</v>
      </c>
      <c r="C189" t="s" s="0">
        <v>678</v>
      </c>
      <c r="D189" t="s" s="0">
        <v>679</v>
      </c>
      <c r="E189" t="s" s="0">
        <v>680</v>
      </c>
      <c r="F189" t="s" s="0">
        <v>681</v>
      </c>
      <c r="G189" t="s" s="0">
        <v>682</v>
      </c>
      <c r="H189" t="s" s="0">
        <v>683</v>
      </c>
      <c r="I189" t="s" s="0">
        <v>684</v>
      </c>
      <c r="J189" t="n" s="2">
        <v>7.5</v>
      </c>
      <c r="K189" t="s">
        <v>33</v>
      </c>
      <c r="L189" t="s">
        <v>33</v>
      </c>
      <c r="M189" s="3">
        <f>IFERROR(K189/J189,0)</f>
      </c>
      <c r="N189" t="s">
        <v>49</v>
      </c>
      <c r="O189" t="s">
        <v>35</v>
      </c>
      <c r="P189" t="s">
        <v>685</v>
      </c>
      <c r="Q189" t="s">
        <v>33</v>
      </c>
      <c r="R189" t="s">
        <v>686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687</v>
      </c>
      <c r="B190" t="s" s="0">
        <v>24</v>
      </c>
      <c r="C190" t="s" s="0">
        <v>688</v>
      </c>
      <c r="D190" t="s" s="0">
        <v>689</v>
      </c>
      <c r="E190" t="s" s="0">
        <v>690</v>
      </c>
      <c r="F190" t="s" s="0">
        <v>691</v>
      </c>
      <c r="G190" t="s" s="0">
        <v>692</v>
      </c>
      <c r="H190" t="s" s="0">
        <v>76</v>
      </c>
      <c r="I190" t="s" s="0">
        <v>693</v>
      </c>
      <c r="J190" t="n" s="2">
        <v>3.25</v>
      </c>
      <c r="K190" t="n" s="2">
        <v>2.0</v>
      </c>
      <c r="L190" t="n" s="2">
        <v>1.25</v>
      </c>
      <c r="M190" s="3">
        <f>IFERROR(K190/J190,0)</f>
      </c>
      <c r="N190" t="s">
        <v>34</v>
      </c>
      <c r="O190" t="s">
        <v>42</v>
      </c>
      <c r="P190" t="s">
        <v>694</v>
      </c>
      <c r="Q190" t="s">
        <v>695</v>
      </c>
      <c r="R190" t="s">
        <v>696</v>
      </c>
      <c r="S190" t="s">
        <v>42</v>
      </c>
      <c r="T190" t="n" s="2">
        <v>4.0</v>
      </c>
      <c r="U190" t="s">
        <v>697</v>
      </c>
      <c r="V190" t="s">
        <v>698</v>
      </c>
      <c r="W190" t="n" s="2">
        <v>0.75</v>
      </c>
    </row>
    <row r="191">
      <c r="A191" t="s" s="0">
        <v>687</v>
      </c>
      <c r="B191" t="s" s="0">
        <v>24</v>
      </c>
      <c r="C191" t="s" s="0">
        <v>688</v>
      </c>
      <c r="D191" t="s" s="0">
        <v>689</v>
      </c>
      <c r="E191" t="s" s="0">
        <v>690</v>
      </c>
      <c r="F191" t="s" s="0">
        <v>691</v>
      </c>
      <c r="G191" t="s" s="0">
        <v>312</v>
      </c>
      <c r="H191" t="s" s="0">
        <v>699</v>
      </c>
      <c r="I191" t="s" s="0">
        <v>693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42</v>
      </c>
      <c r="P191" t="s">
        <v>700</v>
      </c>
      <c r="Q191" t="s">
        <v>33</v>
      </c>
      <c r="R191" t="s">
        <v>701</v>
      </c>
      <c r="S191" t="s">
        <v>49</v>
      </c>
      <c r="T191" t="n" s="2">
        <v>4.18</v>
      </c>
      <c r="U191" t="s">
        <v>201</v>
      </c>
      <c r="V191" t="s">
        <v>39</v>
      </c>
      <c r="W191" t="n" s="2">
        <v>0.78</v>
      </c>
    </row>
    <row r="192">
      <c r="A192" t="s" s="0">
        <v>702</v>
      </c>
      <c r="B192" t="s" s="0">
        <v>24</v>
      </c>
      <c r="C192" t="s" s="0">
        <v>703</v>
      </c>
      <c r="D192" t="s" s="0">
        <v>704</v>
      </c>
      <c r="E192" t="s" s="0">
        <v>705</v>
      </c>
      <c r="F192" t="s" s="0">
        <v>706</v>
      </c>
      <c r="G192" t="s" s="0">
        <v>707</v>
      </c>
      <c r="H192" t="s" s="0">
        <v>388</v>
      </c>
      <c r="I192" t="s" s="0">
        <v>684</v>
      </c>
      <c r="J192" t="n" s="2">
        <v>4.3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35</v>
      </c>
      <c r="P192" t="s">
        <v>282</v>
      </c>
      <c r="Q192" t="s">
        <v>33</v>
      </c>
      <c r="R192" t="s">
        <v>708</v>
      </c>
      <c r="S192" t="s">
        <v>42</v>
      </c>
      <c r="U192" t="s">
        <v>39</v>
      </c>
      <c r="V192" t="s">
        <v>39</v>
      </c>
      <c r="W192" t="s">
        <v>39</v>
      </c>
    </row>
    <row r="193">
      <c r="A193" t="s" s="0">
        <v>702</v>
      </c>
      <c r="B193" t="s" s="0">
        <v>24</v>
      </c>
      <c r="C193" t="s" s="0">
        <v>703</v>
      </c>
      <c r="D193" t="s" s="0">
        <v>704</v>
      </c>
      <c r="E193" t="s" s="0">
        <v>705</v>
      </c>
      <c r="F193" t="s" s="0">
        <v>706</v>
      </c>
      <c r="G193" t="s" s="0">
        <v>122</v>
      </c>
      <c r="H193" t="s" s="0">
        <v>709</v>
      </c>
      <c r="I193" t="s" s="0">
        <v>684</v>
      </c>
      <c r="J193" t="n" s="2">
        <v>4.8</v>
      </c>
      <c r="K193" t="s">
        <v>33</v>
      </c>
      <c r="L193" t="s">
        <v>33</v>
      </c>
      <c r="M193" s="3">
        <f>IFERROR(K193/J193,0)</f>
      </c>
      <c r="N193" t="s">
        <v>69</v>
      </c>
      <c r="O193" t="s">
        <v>35</v>
      </c>
      <c r="P193" t="s">
        <v>710</v>
      </c>
      <c r="Q193" t="s">
        <v>33</v>
      </c>
      <c r="R193" t="s">
        <v>33</v>
      </c>
      <c r="S193" t="s">
        <v>49</v>
      </c>
      <c r="U193" t="s">
        <v>39</v>
      </c>
      <c r="V193" t="s">
        <v>39</v>
      </c>
      <c r="W193" t="s">
        <v>39</v>
      </c>
    </row>
    <row r="194">
      <c r="A194" t="s" s="0">
        <v>702</v>
      </c>
      <c r="B194" t="s" s="0">
        <v>24</v>
      </c>
      <c r="C194" t="s" s="0">
        <v>703</v>
      </c>
      <c r="D194" t="s" s="0">
        <v>704</v>
      </c>
      <c r="E194" t="s" s="0">
        <v>705</v>
      </c>
      <c r="F194" t="s" s="0">
        <v>706</v>
      </c>
      <c r="G194" t="s" s="0">
        <v>711</v>
      </c>
      <c r="H194" t="s" s="0">
        <v>261</v>
      </c>
      <c r="I194" t="s" s="0">
        <v>693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69</v>
      </c>
      <c r="O194" t="s">
        <v>35</v>
      </c>
      <c r="P194" t="s">
        <v>33</v>
      </c>
      <c r="Q194" t="s">
        <v>33</v>
      </c>
      <c r="R194" t="s">
        <v>33</v>
      </c>
      <c r="S194" t="s">
        <v>51</v>
      </c>
      <c r="T194" t="n" s="2">
        <v>6.8</v>
      </c>
      <c r="U194" t="s">
        <v>39</v>
      </c>
      <c r="V194" t="s">
        <v>39</v>
      </c>
      <c r="W194" t="s">
        <v>39</v>
      </c>
    </row>
    <row r="195">
      <c r="A195" t="s" s="0">
        <v>702</v>
      </c>
      <c r="B195" t="s" s="0">
        <v>24</v>
      </c>
      <c r="C195" t="s" s="0">
        <v>703</v>
      </c>
      <c r="D195" t="s" s="0">
        <v>704</v>
      </c>
      <c r="E195" t="s" s="0">
        <v>705</v>
      </c>
      <c r="F195" t="s" s="0">
        <v>706</v>
      </c>
      <c r="G195" t="s" s="0">
        <v>29</v>
      </c>
      <c r="H195" t="s" s="0">
        <v>176</v>
      </c>
      <c r="I195" t="s" s="0">
        <v>31</v>
      </c>
      <c r="J195" t="n" s="2">
        <v>7.3</v>
      </c>
      <c r="K195" t="s">
        <v>33</v>
      </c>
      <c r="L195" t="s">
        <v>33</v>
      </c>
      <c r="M195" s="3">
        <f>IFERROR(K195/J195,0)</f>
      </c>
      <c r="N195" t="s">
        <v>69</v>
      </c>
      <c r="O195" t="s">
        <v>35</v>
      </c>
      <c r="P195" t="s">
        <v>712</v>
      </c>
      <c r="Q195" t="s">
        <v>33</v>
      </c>
      <c r="R195" t="s">
        <v>713</v>
      </c>
      <c r="S195" t="s">
        <v>53</v>
      </c>
      <c r="T195" t="n" s="2">
        <v>6.89</v>
      </c>
      <c r="U195" t="s">
        <v>714</v>
      </c>
      <c r="V195" t="s">
        <v>39</v>
      </c>
      <c r="W195" t="n" s="2">
        <v>-0.41</v>
      </c>
    </row>
    <row r="196">
      <c r="A196" t="s" s="0">
        <v>715</v>
      </c>
      <c r="B196" t="s" s="0">
        <v>163</v>
      </c>
      <c r="C196" t="s" s="0">
        <v>472</v>
      </c>
      <c r="D196" t="s" s="0">
        <v>716</v>
      </c>
      <c r="E196" t="s" s="0">
        <v>717</v>
      </c>
      <c r="F196" t="s" s="0">
        <v>718</v>
      </c>
      <c r="G196" t="s" s="0">
        <v>99</v>
      </c>
      <c r="H196" t="s" s="0">
        <v>683</v>
      </c>
      <c r="I196" t="s" s="0">
        <v>693</v>
      </c>
      <c r="J196" t="n" s="2">
        <v>7.4</v>
      </c>
      <c r="K196" t="s">
        <v>33</v>
      </c>
      <c r="L196" t="s">
        <v>33</v>
      </c>
      <c r="M196" s="3">
        <f>IFERROR(K196/J196,0)</f>
      </c>
      <c r="N196" t="s">
        <v>69</v>
      </c>
      <c r="O196" t="s">
        <v>35</v>
      </c>
      <c r="P196" t="s">
        <v>710</v>
      </c>
      <c r="Q196" t="s">
        <v>33</v>
      </c>
      <c r="R196" t="s">
        <v>719</v>
      </c>
      <c r="S196" t="s">
        <v>42</v>
      </c>
      <c r="T196" t="n" s="2">
        <v>7.99</v>
      </c>
      <c r="U196" t="s">
        <v>720</v>
      </c>
      <c r="V196" t="s">
        <v>39</v>
      </c>
      <c r="W196" t="n" s="2">
        <v>0.59</v>
      </c>
    </row>
    <row r="197">
      <c r="A197" t="s" s="0">
        <v>715</v>
      </c>
      <c r="B197" t="s" s="0">
        <v>163</v>
      </c>
      <c r="C197" t="s" s="0">
        <v>472</v>
      </c>
      <c r="D197" t="s" s="0">
        <v>716</v>
      </c>
      <c r="E197" t="s" s="0">
        <v>717</v>
      </c>
      <c r="F197" t="s" s="0">
        <v>718</v>
      </c>
      <c r="G197" t="s" s="0">
        <v>29</v>
      </c>
      <c r="H197" t="s" s="0">
        <v>476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69</v>
      </c>
      <c r="O197" t="s">
        <v>35</v>
      </c>
      <c r="P197" t="s">
        <v>33</v>
      </c>
      <c r="Q197" t="s">
        <v>33</v>
      </c>
      <c r="R197" t="s">
        <v>33</v>
      </c>
      <c r="S197" t="s">
        <v>49</v>
      </c>
      <c r="T197" t="n" s="2">
        <v>10.0</v>
      </c>
      <c r="U197" t="s">
        <v>39</v>
      </c>
      <c r="V197" t="s">
        <v>39</v>
      </c>
      <c r="W197" t="s">
        <v>39</v>
      </c>
    </row>
    <row r="198">
      <c r="A198" t="s" s="0">
        <v>715</v>
      </c>
      <c r="B198" t="s" s="0">
        <v>163</v>
      </c>
      <c r="C198" t="s" s="0">
        <v>472</v>
      </c>
      <c r="D198" t="s" s="0">
        <v>716</v>
      </c>
      <c r="E198" t="s" s="0">
        <v>717</v>
      </c>
      <c r="F198" t="s" s="0">
        <v>718</v>
      </c>
      <c r="G198" t="s" s="0">
        <v>721</v>
      </c>
      <c r="H198" t="s" s="0">
        <v>722</v>
      </c>
      <c r="I198" t="s" s="0">
        <v>106</v>
      </c>
      <c r="J198" t="n" s="2">
        <v>12.5</v>
      </c>
      <c r="K198" t="s">
        <v>33</v>
      </c>
      <c r="L198" t="s">
        <v>33</v>
      </c>
      <c r="M198" s="3">
        <f>IFERROR(K198/J198,0)</f>
      </c>
      <c r="N198" t="s">
        <v>69</v>
      </c>
      <c r="O198" t="s">
        <v>35</v>
      </c>
      <c r="P198" t="s">
        <v>723</v>
      </c>
      <c r="Q198" t="s">
        <v>33</v>
      </c>
      <c r="R198" t="s">
        <v>724</v>
      </c>
      <c r="S198" t="s">
        <v>51</v>
      </c>
      <c r="U198" t="s">
        <v>39</v>
      </c>
      <c r="V198" t="s">
        <v>39</v>
      </c>
      <c r="W198" t="s">
        <v>39</v>
      </c>
    </row>
    <row r="199">
      <c r="A199" t="s" s="0">
        <v>725</v>
      </c>
      <c r="B199" t="s" s="0">
        <v>163</v>
      </c>
      <c r="C199" t="s" s="0">
        <v>273</v>
      </c>
      <c r="D199" t="s" s="0">
        <v>726</v>
      </c>
      <c r="E199" t="s" s="0">
        <v>690</v>
      </c>
      <c r="F199" t="s" s="0">
        <v>727</v>
      </c>
      <c r="G199" t="s" s="0">
        <v>728</v>
      </c>
      <c r="H199" t="s" s="0">
        <v>683</v>
      </c>
      <c r="I199" t="s" s="0">
        <v>279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53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8.13</v>
      </c>
      <c r="U199" t="s">
        <v>39</v>
      </c>
      <c r="V199" t="s">
        <v>39</v>
      </c>
      <c r="W199" t="s">
        <v>39</v>
      </c>
    </row>
    <row r="200">
      <c r="A200" t="s" s="0">
        <v>725</v>
      </c>
      <c r="B200" t="s" s="0">
        <v>163</v>
      </c>
      <c r="C200" t="s" s="0">
        <v>273</v>
      </c>
      <c r="D200" t="s" s="0">
        <v>726</v>
      </c>
      <c r="E200" t="s" s="0">
        <v>690</v>
      </c>
      <c r="F200" t="s" s="0">
        <v>727</v>
      </c>
      <c r="G200" t="s" s="0">
        <v>29</v>
      </c>
      <c r="H200" t="s" s="0">
        <v>729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53</v>
      </c>
      <c r="O200" t="s">
        <v>35</v>
      </c>
      <c r="P200" t="s">
        <v>730</v>
      </c>
      <c r="Q200" t="s">
        <v>33</v>
      </c>
      <c r="R200" t="s">
        <v>731</v>
      </c>
      <c r="S200" t="s">
        <v>49</v>
      </c>
      <c r="T200" t="n" s="2">
        <v>9.3</v>
      </c>
      <c r="U200" t="s">
        <v>732</v>
      </c>
      <c r="V200" t="s">
        <v>39</v>
      </c>
      <c r="W200" t="n" s="2">
        <v>0.8</v>
      </c>
    </row>
    <row r="201">
      <c r="A201" t="s" s="0">
        <v>733</v>
      </c>
      <c r="B201" t="s" s="0">
        <v>163</v>
      </c>
      <c r="C201" t="s" s="0">
        <v>273</v>
      </c>
      <c r="D201" t="s" s="0">
        <v>734</v>
      </c>
      <c r="E201" t="s" s="0">
        <v>735</v>
      </c>
      <c r="F201" t="s" s="0">
        <v>736</v>
      </c>
      <c r="G201" t="s" s="0">
        <v>335</v>
      </c>
      <c r="H201" t="s" s="0">
        <v>261</v>
      </c>
      <c r="I201" t="s" s="0">
        <v>693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51</v>
      </c>
      <c r="O201" t="s">
        <v>35</v>
      </c>
      <c r="P201" t="s">
        <v>33</v>
      </c>
      <c r="Q201" t="s">
        <v>33</v>
      </c>
      <c r="R201" t="s">
        <v>33</v>
      </c>
      <c r="S201" t="s">
        <v>42</v>
      </c>
      <c r="T201" t="n" s="2">
        <v>8.68</v>
      </c>
      <c r="U201" t="s">
        <v>39</v>
      </c>
      <c r="V201" t="s">
        <v>39</v>
      </c>
      <c r="W201" t="s">
        <v>39</v>
      </c>
    </row>
    <row r="202">
      <c r="A202" t="s" s="0">
        <v>733</v>
      </c>
      <c r="B202" t="s" s="0">
        <v>163</v>
      </c>
      <c r="C202" t="s" s="0">
        <v>273</v>
      </c>
      <c r="D202" t="s" s="0">
        <v>734</v>
      </c>
      <c r="E202" t="s" s="0">
        <v>735</v>
      </c>
      <c r="F202" t="s" s="0">
        <v>736</v>
      </c>
      <c r="G202" t="s" s="0">
        <v>29</v>
      </c>
      <c r="H202" t="s" s="0">
        <v>737</v>
      </c>
      <c r="I202" t="s" s="0">
        <v>31</v>
      </c>
      <c r="J202" t="n" s="2">
        <v>9.0</v>
      </c>
      <c r="K202" t="s">
        <v>33</v>
      </c>
      <c r="L202" t="s">
        <v>33</v>
      </c>
      <c r="M202" s="3">
        <f>IFERROR(K202/J202,0)</f>
      </c>
      <c r="N202" t="s">
        <v>51</v>
      </c>
      <c r="O202" t="s">
        <v>35</v>
      </c>
      <c r="P202" t="s">
        <v>738</v>
      </c>
      <c r="Q202" t="s">
        <v>33</v>
      </c>
      <c r="R202" t="s">
        <v>739</v>
      </c>
      <c r="S202" t="s">
        <v>49</v>
      </c>
      <c r="T202" t="n" s="2">
        <v>10.29</v>
      </c>
      <c r="U202" t="s">
        <v>740</v>
      </c>
      <c r="V202" t="s">
        <v>39</v>
      </c>
      <c r="W202" t="n" s="2">
        <v>1.29</v>
      </c>
    </row>
    <row r="203">
      <c r="A203" t="s" s="0">
        <v>733</v>
      </c>
      <c r="B203" t="s" s="0">
        <v>163</v>
      </c>
      <c r="C203" t="s" s="0">
        <v>273</v>
      </c>
      <c r="D203" t="s" s="0">
        <v>734</v>
      </c>
      <c r="E203" t="s" s="0">
        <v>735</v>
      </c>
      <c r="F203" t="s" s="0">
        <v>736</v>
      </c>
      <c r="G203" t="s" s="0">
        <v>29</v>
      </c>
      <c r="H203" t="s" s="0">
        <v>741</v>
      </c>
      <c r="I203" t="s" s="0">
        <v>279</v>
      </c>
      <c r="J203" t="n" s="2">
        <v>8.3</v>
      </c>
      <c r="K203" t="s">
        <v>33</v>
      </c>
      <c r="L203" t="s">
        <v>33</v>
      </c>
      <c r="M203" s="3">
        <f>IFERROR(K203/J203,0)</f>
      </c>
      <c r="N203" t="s">
        <v>51</v>
      </c>
      <c r="O203" t="s">
        <v>35</v>
      </c>
      <c r="P203" t="s">
        <v>742</v>
      </c>
      <c r="Q203" t="s">
        <v>33</v>
      </c>
      <c r="R203" t="s">
        <v>743</v>
      </c>
      <c r="S203" t="s">
        <v>51</v>
      </c>
      <c r="T203" t="n" s="2">
        <v>10.29</v>
      </c>
      <c r="U203" t="s">
        <v>744</v>
      </c>
      <c r="V203" t="s">
        <v>39</v>
      </c>
      <c r="W203" t="n" s="2">
        <v>1.99</v>
      </c>
    </row>
    <row r="204">
      <c r="A204" t="s" s="0">
        <v>745</v>
      </c>
      <c r="B204" t="s" s="0">
        <v>24</v>
      </c>
      <c r="C204" t="s" s="0">
        <v>746</v>
      </c>
      <c r="D204" t="s" s="0">
        <v>747</v>
      </c>
      <c r="E204" t="s" s="0">
        <v>275</v>
      </c>
      <c r="F204" t="s" s="0">
        <v>748</v>
      </c>
      <c r="G204" t="s" s="0">
        <v>29</v>
      </c>
      <c r="H204" t="s" s="0">
        <v>407</v>
      </c>
      <c r="I204" t="s" s="0">
        <v>31</v>
      </c>
      <c r="J204" t="n" s="2">
        <v>8.5</v>
      </c>
      <c r="K204" t="n" s="2">
        <v>4.5</v>
      </c>
      <c r="L204" t="n" s="2">
        <v>4.0</v>
      </c>
      <c r="M204" s="3">
        <f>IFERROR(K204/J204,0)</f>
      </c>
      <c r="N204" t="s">
        <v>60</v>
      </c>
      <c r="O204" t="s">
        <v>51</v>
      </c>
      <c r="P204" t="s">
        <v>710</v>
      </c>
      <c r="Q204" t="s">
        <v>749</v>
      </c>
      <c r="R204" t="s">
        <v>750</v>
      </c>
      <c r="S204" t="s">
        <v>42</v>
      </c>
      <c r="T204" t="n" s="2">
        <v>8.98</v>
      </c>
      <c r="U204" t="s">
        <v>751</v>
      </c>
      <c r="V204" t="s">
        <v>752</v>
      </c>
      <c r="W204" t="n" s="2">
        <v>0.48</v>
      </c>
    </row>
    <row r="205">
      <c r="A205" t="s" s="0">
        <v>753</v>
      </c>
      <c r="B205" t="s" s="0">
        <v>24</v>
      </c>
      <c r="C205" t="s" s="0">
        <v>754</v>
      </c>
      <c r="D205" t="s" s="0">
        <v>755</v>
      </c>
      <c r="E205" t="s" s="0">
        <v>756</v>
      </c>
      <c r="F205" t="s" s="0">
        <v>757</v>
      </c>
      <c r="G205" t="s" s="0">
        <v>99</v>
      </c>
      <c r="H205" t="s" s="0">
        <v>261</v>
      </c>
      <c r="I205" t="s" s="0">
        <v>693</v>
      </c>
      <c r="J205" t="n" s="2">
        <v>4.9</v>
      </c>
      <c r="K205" t="s">
        <v>33</v>
      </c>
      <c r="L205" t="s">
        <v>33</v>
      </c>
      <c r="M205" s="3">
        <f>IFERROR(K205/J205,0)</f>
      </c>
      <c r="N205" t="s">
        <v>189</v>
      </c>
      <c r="O205" t="s">
        <v>35</v>
      </c>
      <c r="P205" t="s">
        <v>758</v>
      </c>
      <c r="Q205" t="s">
        <v>33</v>
      </c>
      <c r="R205" t="s">
        <v>759</v>
      </c>
      <c r="S205" t="s">
        <v>42</v>
      </c>
      <c r="T205" t="n" s="2">
        <v>6.25</v>
      </c>
      <c r="U205" t="s">
        <v>760</v>
      </c>
      <c r="V205" t="s">
        <v>39</v>
      </c>
      <c r="W205" t="n" s="2">
        <v>1.35</v>
      </c>
    </row>
    <row r="206">
      <c r="A206" t="s" s="0">
        <v>753</v>
      </c>
      <c r="B206" t="s" s="0">
        <v>24</v>
      </c>
      <c r="C206" t="s" s="0">
        <v>754</v>
      </c>
      <c r="D206" t="s" s="0">
        <v>755</v>
      </c>
      <c r="E206" t="s" s="0">
        <v>756</v>
      </c>
      <c r="F206" t="s" s="0">
        <v>757</v>
      </c>
      <c r="G206" t="s" s="0">
        <v>29</v>
      </c>
      <c r="H206" t="s" s="0">
        <v>476</v>
      </c>
      <c r="I206" t="s" s="0">
        <v>31</v>
      </c>
      <c r="J206" t="n" s="2">
        <v>5.8</v>
      </c>
      <c r="K206" t="s">
        <v>33</v>
      </c>
      <c r="L206" t="s">
        <v>33</v>
      </c>
      <c r="M206" s="3">
        <f>IFERROR(K206/J206,0)</f>
      </c>
      <c r="N206" t="s">
        <v>189</v>
      </c>
      <c r="O206" t="s">
        <v>35</v>
      </c>
      <c r="P206" t="s">
        <v>761</v>
      </c>
      <c r="Q206" t="s">
        <v>33</v>
      </c>
      <c r="R206" t="s">
        <v>762</v>
      </c>
      <c r="S206" t="s">
        <v>49</v>
      </c>
      <c r="T206" t="n" s="2">
        <v>6.2</v>
      </c>
      <c r="U206" t="s">
        <v>763</v>
      </c>
      <c r="V206" t="s">
        <v>39</v>
      </c>
      <c r="W206" t="n" s="2">
        <v>0.4</v>
      </c>
    </row>
    <row r="207">
      <c r="A207" t="s" s="0">
        <v>764</v>
      </c>
      <c r="B207" t="s" s="0">
        <v>24</v>
      </c>
      <c r="C207" t="s" s="0">
        <v>754</v>
      </c>
      <c r="D207" t="s" s="0">
        <v>765</v>
      </c>
      <c r="E207" t="s" s="0">
        <v>756</v>
      </c>
      <c r="F207" t="s" s="0">
        <v>766</v>
      </c>
      <c r="G207" t="s" s="0">
        <v>99</v>
      </c>
      <c r="H207" t="s" s="0">
        <v>767</v>
      </c>
      <c r="I207" t="s" s="0">
        <v>693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439</v>
      </c>
      <c r="O207" t="s">
        <v>35</v>
      </c>
      <c r="P207" t="s">
        <v>768</v>
      </c>
      <c r="Q207" t="s">
        <v>33</v>
      </c>
      <c r="R207" t="s">
        <v>769</v>
      </c>
      <c r="S207" t="s">
        <v>42</v>
      </c>
      <c r="T207" t="n" s="2">
        <v>6.2</v>
      </c>
      <c r="U207" t="s">
        <v>770</v>
      </c>
      <c r="V207" t="s">
        <v>39</v>
      </c>
      <c r="W207" t="n" s="2">
        <v>0.7</v>
      </c>
    </row>
    <row r="208">
      <c r="A208" t="s" s="0">
        <v>764</v>
      </c>
      <c r="B208" t="s" s="0">
        <v>24</v>
      </c>
      <c r="C208" t="s" s="0">
        <v>754</v>
      </c>
      <c r="D208" t="s" s="0">
        <v>765</v>
      </c>
      <c r="E208" t="s" s="0">
        <v>756</v>
      </c>
      <c r="F208" t="s" s="0">
        <v>766</v>
      </c>
      <c r="G208" t="s" s="0">
        <v>29</v>
      </c>
      <c r="H208" t="s" s="0">
        <v>771</v>
      </c>
      <c r="I208" t="s" s="0">
        <v>31</v>
      </c>
      <c r="J208" t="n" s="2">
        <v>6.6</v>
      </c>
      <c r="K208" t="s">
        <v>33</v>
      </c>
      <c r="L208" t="s">
        <v>33</v>
      </c>
      <c r="M208" s="3">
        <f>IFERROR(K208/J208,0)</f>
      </c>
      <c r="N208" t="s">
        <v>439</v>
      </c>
      <c r="O208" t="s">
        <v>35</v>
      </c>
      <c r="P208" t="s">
        <v>772</v>
      </c>
      <c r="Q208" t="s">
        <v>33</v>
      </c>
      <c r="R208" t="s">
        <v>773</v>
      </c>
      <c r="S208" t="s">
        <v>49</v>
      </c>
      <c r="T208" t="n" s="2">
        <v>7.65</v>
      </c>
      <c r="U208" t="s">
        <v>774</v>
      </c>
      <c r="V208" t="s">
        <v>39</v>
      </c>
      <c r="W208" t="n" s="2">
        <v>1.05</v>
      </c>
    </row>
    <row r="209">
      <c r="A209" t="s" s="0">
        <v>764</v>
      </c>
      <c r="B209" t="s" s="0">
        <v>24</v>
      </c>
      <c r="C209" t="s" s="0">
        <v>754</v>
      </c>
      <c r="D209" t="s" s="0">
        <v>765</v>
      </c>
      <c r="E209" t="s" s="0">
        <v>756</v>
      </c>
      <c r="F209" t="s" s="0">
        <v>766</v>
      </c>
      <c r="G209" t="s" s="0">
        <v>775</v>
      </c>
      <c r="H209" t="s" s="0">
        <v>236</v>
      </c>
      <c r="I209" t="s" s="0">
        <v>106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439</v>
      </c>
      <c r="O209" t="s">
        <v>35</v>
      </c>
      <c r="P209" t="s">
        <v>776</v>
      </c>
      <c r="Q209" t="s">
        <v>33</v>
      </c>
      <c r="R209" t="s">
        <v>777</v>
      </c>
      <c r="S209" t="s">
        <v>51</v>
      </c>
      <c r="U209" t="s">
        <v>39</v>
      </c>
      <c r="V209" t="s">
        <v>39</v>
      </c>
      <c r="W209" t="s">
        <v>39</v>
      </c>
    </row>
    <row r="210">
      <c r="A210" t="s" s="0">
        <v>778</v>
      </c>
      <c r="B210" t="s" s="0">
        <v>24</v>
      </c>
      <c r="C210" t="s" s="0">
        <v>383</v>
      </c>
      <c r="D210" t="s" s="0">
        <v>779</v>
      </c>
      <c r="E210" t="s" s="0">
        <v>520</v>
      </c>
      <c r="F210" t="s" s="0">
        <v>780</v>
      </c>
      <c r="G210" t="s" s="0">
        <v>99</v>
      </c>
      <c r="H210" t="s" s="0">
        <v>683</v>
      </c>
      <c r="I210" t="s" s="0">
        <v>31</v>
      </c>
      <c r="J210" t="n" s="2">
        <v>6.8</v>
      </c>
      <c r="K210" t="n" s="2">
        <v>4.0</v>
      </c>
      <c r="L210" t="n" s="2">
        <v>2.8</v>
      </c>
      <c r="M210" s="3">
        <f>IFERROR(K210/J210,0)</f>
      </c>
      <c r="N210" t="s">
        <v>322</v>
      </c>
      <c r="O210" t="s">
        <v>49</v>
      </c>
      <c r="P210" t="s">
        <v>781</v>
      </c>
      <c r="Q210" t="s">
        <v>782</v>
      </c>
      <c r="R210" t="s">
        <v>783</v>
      </c>
      <c r="S210" t="s">
        <v>42</v>
      </c>
      <c r="T210" t="n" s="2">
        <v>7.7</v>
      </c>
      <c r="U210" t="s">
        <v>784</v>
      </c>
      <c r="V210" t="s">
        <v>785</v>
      </c>
      <c r="W210" t="n" s="2">
        <v>0.9</v>
      </c>
    </row>
    <row r="211">
      <c r="A211" t="s" s="0">
        <v>778</v>
      </c>
      <c r="B211" t="s" s="0">
        <v>24</v>
      </c>
      <c r="C211" t="s" s="0">
        <v>383</v>
      </c>
      <c r="D211" t="s" s="0">
        <v>779</v>
      </c>
      <c r="E211" t="s" s="0">
        <v>520</v>
      </c>
      <c r="F211" t="s" s="0">
        <v>780</v>
      </c>
      <c r="G211" t="s" s="0">
        <v>261</v>
      </c>
      <c r="H211" t="s" s="0">
        <v>438</v>
      </c>
      <c r="I211" t="s" s="0">
        <v>31</v>
      </c>
      <c r="J211" t="n" s="2">
        <v>7.0</v>
      </c>
      <c r="K211" t="s">
        <v>33</v>
      </c>
      <c r="L211" t="s">
        <v>33</v>
      </c>
      <c r="M211" s="3">
        <f>IFERROR(K211/J211,0)</f>
      </c>
      <c r="N211" t="s">
        <v>322</v>
      </c>
      <c r="O211" t="s">
        <v>49</v>
      </c>
      <c r="P211" t="s">
        <v>786</v>
      </c>
      <c r="Q211" t="s">
        <v>33</v>
      </c>
      <c r="R211" t="s">
        <v>787</v>
      </c>
      <c r="S211" t="s">
        <v>49</v>
      </c>
      <c r="T211" t="n" s="2">
        <v>8.5</v>
      </c>
      <c r="U211" t="s">
        <v>788</v>
      </c>
      <c r="V211" t="s">
        <v>39</v>
      </c>
      <c r="W211" t="n" s="2">
        <v>1.5</v>
      </c>
    </row>
    <row r="212">
      <c r="A212" t="s" s="0">
        <v>778</v>
      </c>
      <c r="B212" t="s" s="0">
        <v>24</v>
      </c>
      <c r="C212" t="s" s="0">
        <v>383</v>
      </c>
      <c r="D212" t="s" s="0">
        <v>779</v>
      </c>
      <c r="E212" t="s" s="0">
        <v>520</v>
      </c>
      <c r="F212" t="s" s="0">
        <v>780</v>
      </c>
      <c r="G212" t="s" s="0">
        <v>261</v>
      </c>
      <c r="H212" t="s" s="0">
        <v>789</v>
      </c>
      <c r="I212" t="s" s="0">
        <v>31</v>
      </c>
      <c r="J212" t="n" s="2">
        <v>7.5</v>
      </c>
      <c r="K212" t="s">
        <v>33</v>
      </c>
      <c r="L212" t="s">
        <v>33</v>
      </c>
      <c r="M212" s="3">
        <f>IFERROR(K212/J212,0)</f>
      </c>
      <c r="N212" t="s">
        <v>322</v>
      </c>
      <c r="O212" t="s">
        <v>49</v>
      </c>
      <c r="P212" t="s">
        <v>790</v>
      </c>
      <c r="Q212" t="s">
        <v>33</v>
      </c>
      <c r="R212" t="s">
        <v>791</v>
      </c>
      <c r="S212" t="s">
        <v>51</v>
      </c>
      <c r="T212" t="n" s="2">
        <v>8.5</v>
      </c>
      <c r="U212" t="s">
        <v>792</v>
      </c>
      <c r="V212" t="s">
        <v>39</v>
      </c>
      <c r="W212" t="n" s="2">
        <v>1.0</v>
      </c>
    </row>
    <row r="213">
      <c r="A213" t="s" s="0">
        <v>778</v>
      </c>
      <c r="B213" t="s" s="0">
        <v>24</v>
      </c>
      <c r="C213" t="s" s="0">
        <v>383</v>
      </c>
      <c r="D213" t="s" s="0">
        <v>779</v>
      </c>
      <c r="E213" t="s" s="0">
        <v>520</v>
      </c>
      <c r="F213" t="s" s="0">
        <v>780</v>
      </c>
      <c r="G213" t="s" s="0">
        <v>793</v>
      </c>
      <c r="H213" t="s" s="0">
        <v>528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322</v>
      </c>
      <c r="O213" t="s">
        <v>49</v>
      </c>
      <c r="P213" t="s">
        <v>33</v>
      </c>
      <c r="Q213" t="s">
        <v>33</v>
      </c>
      <c r="R213" t="s">
        <v>33</v>
      </c>
      <c r="S213" t="s">
        <v>53</v>
      </c>
      <c r="U213" t="s">
        <v>39</v>
      </c>
      <c r="V213" t="s">
        <v>39</v>
      </c>
      <c r="W213" t="s">
        <v>39</v>
      </c>
    </row>
    <row r="214">
      <c r="A214" t="s" s="0">
        <v>778</v>
      </c>
      <c r="B214" t="s" s="0">
        <v>24</v>
      </c>
      <c r="C214" t="s" s="0">
        <v>383</v>
      </c>
      <c r="D214" t="s" s="0">
        <v>779</v>
      </c>
      <c r="E214" t="s" s="0">
        <v>520</v>
      </c>
      <c r="F214" t="s" s="0">
        <v>780</v>
      </c>
      <c r="G214" t="s" s="0">
        <v>104</v>
      </c>
      <c r="H214" t="s" s="0">
        <v>794</v>
      </c>
      <c r="I214" t="s" s="0">
        <v>106</v>
      </c>
      <c r="J214" t="n" s="2">
        <v>8.9</v>
      </c>
      <c r="K214" t="s">
        <v>33</v>
      </c>
      <c r="L214" t="s">
        <v>33</v>
      </c>
      <c r="M214" s="3">
        <f>IFERROR(K214/J214,0)</f>
      </c>
      <c r="N214" t="s">
        <v>322</v>
      </c>
      <c r="O214" t="s">
        <v>49</v>
      </c>
      <c r="P214" t="s">
        <v>795</v>
      </c>
      <c r="Q214" t="s">
        <v>33</v>
      </c>
      <c r="R214" t="s">
        <v>796</v>
      </c>
      <c r="S214" t="s">
        <v>55</v>
      </c>
      <c r="U214" t="s">
        <v>39</v>
      </c>
      <c r="V214" t="s">
        <v>39</v>
      </c>
      <c r="W214" t="s">
        <v>39</v>
      </c>
    </row>
    <row r="215">
      <c r="A215" t="s" s="0">
        <v>778</v>
      </c>
      <c r="B215" t="s" s="0">
        <v>24</v>
      </c>
      <c r="C215" t="s" s="0">
        <v>383</v>
      </c>
      <c r="D215" t="s" s="0">
        <v>779</v>
      </c>
      <c r="E215" t="s" s="0">
        <v>520</v>
      </c>
      <c r="F215" t="s" s="0">
        <v>780</v>
      </c>
      <c r="G215" t="s" s="0">
        <v>104</v>
      </c>
      <c r="H215" t="s" s="0">
        <v>797</v>
      </c>
      <c r="I215" t="s" s="0">
        <v>106</v>
      </c>
      <c r="J215" t="n" s="2">
        <v>8.9</v>
      </c>
      <c r="K215" t="s">
        <v>33</v>
      </c>
      <c r="L215" t="s">
        <v>33</v>
      </c>
      <c r="M215" s="3">
        <f>IFERROR(K215/J215,0)</f>
      </c>
      <c r="N215" t="s">
        <v>322</v>
      </c>
      <c r="O215" t="s">
        <v>49</v>
      </c>
      <c r="P215" t="s">
        <v>798</v>
      </c>
      <c r="Q215" t="s">
        <v>33</v>
      </c>
      <c r="R215" t="s">
        <v>799</v>
      </c>
      <c r="S215" t="s">
        <v>60</v>
      </c>
      <c r="U215" t="s">
        <v>39</v>
      </c>
      <c r="V215" t="s">
        <v>39</v>
      </c>
      <c r="W215" t="s">
        <v>39</v>
      </c>
    </row>
    <row r="216">
      <c r="A216" t="s" s="0">
        <v>778</v>
      </c>
      <c r="B216" t="s" s="0">
        <v>24</v>
      </c>
      <c r="C216" t="s" s="0">
        <v>383</v>
      </c>
      <c r="D216" t="s" s="0">
        <v>779</v>
      </c>
      <c r="E216" t="s" s="0">
        <v>520</v>
      </c>
      <c r="F216" t="s" s="0">
        <v>780</v>
      </c>
      <c r="G216" t="s" s="0">
        <v>800</v>
      </c>
      <c r="H216" t="s" s="0">
        <v>801</v>
      </c>
      <c r="I216" t="s" s="0">
        <v>106</v>
      </c>
      <c r="J216" t="n" s="2">
        <v>8.3</v>
      </c>
      <c r="K216" t="n" s="2">
        <v>6.0</v>
      </c>
      <c r="L216" t="n" s="2">
        <v>2.3</v>
      </c>
      <c r="M216" s="3">
        <f>IFERROR(K216/J216,0)</f>
      </c>
      <c r="N216" t="s">
        <v>322</v>
      </c>
      <c r="O216" t="s">
        <v>49</v>
      </c>
      <c r="P216" t="s">
        <v>802</v>
      </c>
      <c r="Q216" t="s">
        <v>803</v>
      </c>
      <c r="R216" t="s">
        <v>804</v>
      </c>
      <c r="S216" t="s">
        <v>62</v>
      </c>
      <c r="U216" t="s">
        <v>39</v>
      </c>
      <c r="V216" t="s">
        <v>39</v>
      </c>
      <c r="W216" t="s">
        <v>39</v>
      </c>
    </row>
    <row r="217">
      <c r="A217" t="s" s="0">
        <v>778</v>
      </c>
      <c r="B217" t="s" s="0">
        <v>24</v>
      </c>
      <c r="C217" t="s" s="0">
        <v>383</v>
      </c>
      <c r="D217" t="s" s="0">
        <v>779</v>
      </c>
      <c r="E217" t="s" s="0">
        <v>520</v>
      </c>
      <c r="F217" t="s" s="0">
        <v>780</v>
      </c>
      <c r="G217" t="s" s="0">
        <v>800</v>
      </c>
      <c r="H217" t="s" s="0">
        <v>805</v>
      </c>
      <c r="I217" t="s" s="0">
        <v>106</v>
      </c>
      <c r="J217" t="n" s="2">
        <v>9.0</v>
      </c>
      <c r="K217" t="s">
        <v>33</v>
      </c>
      <c r="L217" t="s">
        <v>33</v>
      </c>
      <c r="M217" s="3">
        <f>IFERROR(K217/J217,0)</f>
      </c>
      <c r="N217" t="s">
        <v>322</v>
      </c>
      <c r="O217" t="s">
        <v>49</v>
      </c>
      <c r="P217" t="s">
        <v>806</v>
      </c>
      <c r="Q217" t="s">
        <v>33</v>
      </c>
      <c r="R217" t="s">
        <v>807</v>
      </c>
      <c r="S217" t="s">
        <v>67</v>
      </c>
      <c r="U217" t="s">
        <v>39</v>
      </c>
      <c r="V217" t="s">
        <v>39</v>
      </c>
      <c r="W217" t="s">
        <v>39</v>
      </c>
    </row>
    <row r="218">
      <c r="A218" t="s" s="0">
        <v>808</v>
      </c>
      <c r="B218" t="s" s="0">
        <v>24</v>
      </c>
      <c r="C218" t="s" s="0">
        <v>754</v>
      </c>
      <c r="D218" t="s" s="0">
        <v>809</v>
      </c>
      <c r="E218" t="s" s="0">
        <v>810</v>
      </c>
      <c r="F218" t="s" s="0">
        <v>811</v>
      </c>
      <c r="G218" t="s" s="0">
        <v>99</v>
      </c>
      <c r="H218" t="s" s="0">
        <v>812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53</v>
      </c>
      <c r="O218" t="s">
        <v>35</v>
      </c>
      <c r="P218" t="s">
        <v>33</v>
      </c>
      <c r="Q218" t="s">
        <v>33</v>
      </c>
      <c r="R218" t="s">
        <v>33</v>
      </c>
      <c r="S218" t="s">
        <v>42</v>
      </c>
      <c r="T218" t="n" s="2">
        <v>7.49</v>
      </c>
      <c r="U218" t="s">
        <v>39</v>
      </c>
      <c r="V218" t="s">
        <v>39</v>
      </c>
      <c r="W218" t="s">
        <v>39</v>
      </c>
    </row>
    <row r="219">
      <c r="A219" t="s" s="0">
        <v>808</v>
      </c>
      <c r="B219" t="s" s="0">
        <v>24</v>
      </c>
      <c r="C219" t="s" s="0">
        <v>754</v>
      </c>
      <c r="D219" t="s" s="0">
        <v>809</v>
      </c>
      <c r="E219" t="s" s="0">
        <v>810</v>
      </c>
      <c r="F219" t="s" s="0">
        <v>811</v>
      </c>
      <c r="G219" t="s" s="0">
        <v>29</v>
      </c>
      <c r="H219" t="s" s="0">
        <v>61</v>
      </c>
      <c r="I219" t="s" s="0">
        <v>31</v>
      </c>
      <c r="J219" t="n" s="2">
        <v>8.5</v>
      </c>
      <c r="K219" t="s">
        <v>33</v>
      </c>
      <c r="L219" t="s">
        <v>33</v>
      </c>
      <c r="M219" s="3">
        <f>IFERROR(K219/J219,0)</f>
      </c>
      <c r="N219" t="s">
        <v>53</v>
      </c>
      <c r="O219" t="s">
        <v>35</v>
      </c>
      <c r="P219" t="s">
        <v>813</v>
      </c>
      <c r="Q219" t="s">
        <v>33</v>
      </c>
      <c r="R219" t="s">
        <v>814</v>
      </c>
      <c r="S219" t="s">
        <v>49</v>
      </c>
      <c r="T219" t="n" s="2">
        <v>8.95</v>
      </c>
      <c r="U219" t="s">
        <v>815</v>
      </c>
      <c r="V219" t="s">
        <v>39</v>
      </c>
      <c r="W219" t="n" s="2">
        <v>0.45</v>
      </c>
    </row>
    <row r="220">
      <c r="A220" t="s" s="0">
        <v>808</v>
      </c>
      <c r="B220" t="s" s="0">
        <v>24</v>
      </c>
      <c r="C220" t="s" s="0">
        <v>754</v>
      </c>
      <c r="D220" t="s" s="0">
        <v>809</v>
      </c>
      <c r="E220" t="s" s="0">
        <v>810</v>
      </c>
      <c r="F220" t="s" s="0">
        <v>811</v>
      </c>
      <c r="G220" t="s" s="0">
        <v>29</v>
      </c>
      <c r="H220" t="s" s="0">
        <v>54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53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8.95</v>
      </c>
      <c r="U220" t="s">
        <v>39</v>
      </c>
      <c r="V220" t="s">
        <v>39</v>
      </c>
      <c r="W220" t="s">
        <v>39</v>
      </c>
    </row>
    <row r="221">
      <c r="A221" t="s" s="0">
        <v>808</v>
      </c>
      <c r="B221" t="s" s="0">
        <v>24</v>
      </c>
      <c r="C221" t="s" s="0">
        <v>754</v>
      </c>
      <c r="D221" t="s" s="0">
        <v>809</v>
      </c>
      <c r="E221" t="s" s="0">
        <v>810</v>
      </c>
      <c r="F221" t="s" s="0">
        <v>811</v>
      </c>
      <c r="G221" t="s" s="0">
        <v>29</v>
      </c>
      <c r="H221" t="s" s="0">
        <v>816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53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T221" t="n" s="2">
        <v>8.95</v>
      </c>
      <c r="U221" t="s">
        <v>39</v>
      </c>
      <c r="V221" t="s">
        <v>39</v>
      </c>
      <c r="W221" t="s">
        <v>39</v>
      </c>
    </row>
    <row r="222">
      <c r="A222" t="s" s="0">
        <v>808</v>
      </c>
      <c r="B222" t="s" s="0">
        <v>24</v>
      </c>
      <c r="C222" t="s" s="0">
        <v>754</v>
      </c>
      <c r="D222" t="s" s="0">
        <v>809</v>
      </c>
      <c r="E222" t="s" s="0">
        <v>810</v>
      </c>
      <c r="F222" t="s" s="0">
        <v>811</v>
      </c>
      <c r="G222" t="s" s="0">
        <v>524</v>
      </c>
      <c r="H222" t="s" s="0">
        <v>817</v>
      </c>
      <c r="I222" t="s" s="0">
        <v>106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53</v>
      </c>
      <c r="O222" t="s">
        <v>35</v>
      </c>
      <c r="P222" t="s">
        <v>33</v>
      </c>
      <c r="Q222" t="s">
        <v>33</v>
      </c>
      <c r="R222" t="s">
        <v>33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808</v>
      </c>
      <c r="B223" t="s" s="0">
        <v>24</v>
      </c>
      <c r="C223" t="s" s="0">
        <v>754</v>
      </c>
      <c r="D223" t="s" s="0">
        <v>809</v>
      </c>
      <c r="E223" t="s" s="0">
        <v>810</v>
      </c>
      <c r="F223" t="s" s="0">
        <v>811</v>
      </c>
      <c r="G223" t="s" s="0">
        <v>818</v>
      </c>
      <c r="H223" t="s" s="0">
        <v>819</v>
      </c>
      <c r="I223" t="s" s="0">
        <v>106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53</v>
      </c>
      <c r="O223" t="s">
        <v>35</v>
      </c>
      <c r="P223" t="s">
        <v>820</v>
      </c>
      <c r="Q223" t="s">
        <v>33</v>
      </c>
      <c r="R223" t="s">
        <v>821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822</v>
      </c>
      <c r="B224" t="s" s="0">
        <v>24</v>
      </c>
      <c r="C224" t="s" s="0">
        <v>703</v>
      </c>
      <c r="D224" t="s" s="0">
        <v>823</v>
      </c>
      <c r="E224" t="s" s="0">
        <v>520</v>
      </c>
      <c r="F224" t="s" s="0">
        <v>824</v>
      </c>
      <c r="G224" t="s" s="0">
        <v>99</v>
      </c>
      <c r="H224" t="s" s="0">
        <v>825</v>
      </c>
      <c r="I224" t="s" s="0">
        <v>31</v>
      </c>
      <c r="J224" t="s" s="0">
        <v>33</v>
      </c>
      <c r="K224" t="n" s="2">
        <v>5.0</v>
      </c>
      <c r="L224" t="s">
        <v>33</v>
      </c>
      <c r="M224" s="3">
        <f>IFERROR(K224/J224,0)</f>
      </c>
      <c r="N224" t="s">
        <v>60</v>
      </c>
      <c r="O224" t="s">
        <v>42</v>
      </c>
      <c r="P224" t="s">
        <v>33</v>
      </c>
      <c r="Q224" t="s">
        <v>826</v>
      </c>
      <c r="R224" t="s">
        <v>33</v>
      </c>
      <c r="S224" t="s">
        <v>42</v>
      </c>
      <c r="T224" t="n" s="2">
        <v>7.73</v>
      </c>
      <c r="U224" t="s">
        <v>39</v>
      </c>
      <c r="V224" t="s">
        <v>39</v>
      </c>
      <c r="W224" t="s">
        <v>39</v>
      </c>
    </row>
    <row r="225">
      <c r="A225" t="s" s="0">
        <v>822</v>
      </c>
      <c r="B225" t="s" s="0">
        <v>24</v>
      </c>
      <c r="C225" t="s" s="0">
        <v>703</v>
      </c>
      <c r="D225" t="s" s="0">
        <v>823</v>
      </c>
      <c r="E225" t="s" s="0">
        <v>520</v>
      </c>
      <c r="F225" t="s" s="0">
        <v>824</v>
      </c>
      <c r="G225" t="s" s="0">
        <v>76</v>
      </c>
      <c r="H225" t="s" s="0">
        <v>827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60</v>
      </c>
      <c r="O225" t="s">
        <v>42</v>
      </c>
      <c r="P225" t="s">
        <v>33</v>
      </c>
      <c r="Q225" t="s">
        <v>33</v>
      </c>
      <c r="R225" t="s">
        <v>33</v>
      </c>
      <c r="S225" t="s">
        <v>49</v>
      </c>
      <c r="U225" t="s">
        <v>39</v>
      </c>
      <c r="V225" t="s">
        <v>39</v>
      </c>
      <c r="W225" t="s">
        <v>39</v>
      </c>
    </row>
    <row r="226">
      <c r="A226" t="s" s="0">
        <v>822</v>
      </c>
      <c r="B226" t="s" s="0">
        <v>24</v>
      </c>
      <c r="C226" t="s" s="0">
        <v>703</v>
      </c>
      <c r="D226" t="s" s="0">
        <v>823</v>
      </c>
      <c r="E226" t="s" s="0">
        <v>520</v>
      </c>
      <c r="F226" t="s" s="0">
        <v>824</v>
      </c>
      <c r="G226" t="s" s="0">
        <v>29</v>
      </c>
      <c r="H226" t="s" s="0">
        <v>828</v>
      </c>
      <c r="I226" t="s" s="0">
        <v>31</v>
      </c>
      <c r="J226" t="n" s="2">
        <v>9.7</v>
      </c>
      <c r="K226" t="s">
        <v>33</v>
      </c>
      <c r="L226" t="s">
        <v>33</v>
      </c>
      <c r="M226" s="3">
        <f>IFERROR(K226/J226,0)</f>
      </c>
      <c r="N226" t="s">
        <v>60</v>
      </c>
      <c r="O226" t="s">
        <v>42</v>
      </c>
      <c r="P226" t="s">
        <v>341</v>
      </c>
      <c r="Q226" t="s">
        <v>33</v>
      </c>
      <c r="R226" t="s">
        <v>829</v>
      </c>
      <c r="S226" t="s">
        <v>51</v>
      </c>
      <c r="T226" t="n" s="2">
        <v>10.7</v>
      </c>
      <c r="U226" t="s">
        <v>830</v>
      </c>
      <c r="V226" t="s">
        <v>39</v>
      </c>
      <c r="W226" t="n" s="2">
        <v>1.0</v>
      </c>
    </row>
    <row r="227">
      <c r="A227" t="s" s="0">
        <v>822</v>
      </c>
      <c r="B227" t="s" s="0">
        <v>24</v>
      </c>
      <c r="C227" t="s" s="0">
        <v>703</v>
      </c>
      <c r="D227" t="s" s="0">
        <v>823</v>
      </c>
      <c r="E227" t="s" s="0">
        <v>520</v>
      </c>
      <c r="F227" t="s" s="0">
        <v>824</v>
      </c>
      <c r="G227" t="s" s="0">
        <v>831</v>
      </c>
      <c r="H227" t="s" s="0">
        <v>832</v>
      </c>
      <c r="I227" t="s" s="0">
        <v>106</v>
      </c>
      <c r="J227" t="n" s="2">
        <v>13.0</v>
      </c>
      <c r="K227" t="s">
        <v>33</v>
      </c>
      <c r="L227" t="s">
        <v>33</v>
      </c>
      <c r="M227" s="3">
        <f>IFERROR(K227/J227,0)</f>
      </c>
      <c r="N227" t="s">
        <v>60</v>
      </c>
      <c r="O227" t="s">
        <v>42</v>
      </c>
      <c r="P227" t="s">
        <v>833</v>
      </c>
      <c r="Q227" t="s">
        <v>33</v>
      </c>
      <c r="R227" t="s">
        <v>834</v>
      </c>
      <c r="S227" t="s">
        <v>53</v>
      </c>
      <c r="U227" t="s">
        <v>39</v>
      </c>
      <c r="V227" t="s">
        <v>39</v>
      </c>
      <c r="W227" t="s">
        <v>39</v>
      </c>
    </row>
    <row r="228">
      <c r="A228" t="s" s="0">
        <v>835</v>
      </c>
      <c r="B228" t="s" s="0">
        <v>163</v>
      </c>
      <c r="C228" t="s" s="0">
        <v>287</v>
      </c>
      <c r="D228" t="s" s="0">
        <v>836</v>
      </c>
      <c r="E228" t="s" s="0">
        <v>520</v>
      </c>
      <c r="F228" t="s" s="0">
        <v>837</v>
      </c>
      <c r="G228" t="s" s="0">
        <v>709</v>
      </c>
      <c r="H228" t="s" s="0">
        <v>699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133</v>
      </c>
      <c r="O228" t="s">
        <v>35</v>
      </c>
      <c r="P228" t="s">
        <v>838</v>
      </c>
      <c r="Q228" t="s">
        <v>33</v>
      </c>
      <c r="R228" t="s">
        <v>839</v>
      </c>
      <c r="S228" t="s">
        <v>42</v>
      </c>
      <c r="T228" t="n" s="2">
        <v>8.0</v>
      </c>
      <c r="U228" t="s">
        <v>740</v>
      </c>
      <c r="V228" t="s">
        <v>39</v>
      </c>
      <c r="W228" t="n" s="2">
        <v>1.0</v>
      </c>
    </row>
    <row r="229">
      <c r="A229" t="s" s="0">
        <v>835</v>
      </c>
      <c r="B229" t="s" s="0">
        <v>163</v>
      </c>
      <c r="C229" t="s" s="0">
        <v>287</v>
      </c>
      <c r="D229" t="s" s="0">
        <v>836</v>
      </c>
      <c r="E229" t="s" s="0">
        <v>520</v>
      </c>
      <c r="F229" t="s" s="0">
        <v>837</v>
      </c>
      <c r="G229" t="s" s="0">
        <v>29</v>
      </c>
      <c r="H229" t="s" s="0">
        <v>438</v>
      </c>
      <c r="I229" t="s" s="0">
        <v>31</v>
      </c>
      <c r="J229" t="n" s="2">
        <v>7.8</v>
      </c>
      <c r="K229" t="s">
        <v>33</v>
      </c>
      <c r="L229" t="s">
        <v>33</v>
      </c>
      <c r="M229" s="3">
        <f>IFERROR(K229/J229,0)</f>
      </c>
      <c r="N229" t="s">
        <v>133</v>
      </c>
      <c r="O229" t="s">
        <v>35</v>
      </c>
      <c r="P229" t="s">
        <v>840</v>
      </c>
      <c r="Q229" t="s">
        <v>33</v>
      </c>
      <c r="R229" t="s">
        <v>841</v>
      </c>
      <c r="S229" t="s">
        <v>49</v>
      </c>
      <c r="U229" t="s">
        <v>39</v>
      </c>
      <c r="V229" t="s">
        <v>39</v>
      </c>
      <c r="W229" t="s">
        <v>39</v>
      </c>
    </row>
    <row r="230">
      <c r="A230" t="s" s="0">
        <v>835</v>
      </c>
      <c r="B230" t="s" s="0">
        <v>163</v>
      </c>
      <c r="C230" t="s" s="0">
        <v>287</v>
      </c>
      <c r="D230" t="s" s="0">
        <v>836</v>
      </c>
      <c r="E230" t="s" s="0">
        <v>520</v>
      </c>
      <c r="F230" t="s" s="0">
        <v>837</v>
      </c>
      <c r="G230" t="s" s="0">
        <v>29</v>
      </c>
      <c r="H230" t="s" s="0">
        <v>842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133</v>
      </c>
      <c r="O230" t="s">
        <v>35</v>
      </c>
      <c r="P230" t="s">
        <v>33</v>
      </c>
      <c r="Q230" t="s">
        <v>33</v>
      </c>
      <c r="R230" t="s">
        <v>33</v>
      </c>
      <c r="S230" t="s">
        <v>51</v>
      </c>
      <c r="U230" t="s">
        <v>39</v>
      </c>
      <c r="V230" t="s">
        <v>39</v>
      </c>
      <c r="W230" t="s">
        <v>39</v>
      </c>
    </row>
    <row r="231">
      <c r="A231" t="s" s="0">
        <v>835</v>
      </c>
      <c r="B231" t="s" s="0">
        <v>163</v>
      </c>
      <c r="C231" t="s" s="0">
        <v>287</v>
      </c>
      <c r="D231" t="s" s="0">
        <v>836</v>
      </c>
      <c r="E231" t="s" s="0">
        <v>520</v>
      </c>
      <c r="F231" t="s" s="0">
        <v>837</v>
      </c>
      <c r="G231" t="s" s="0">
        <v>29</v>
      </c>
      <c r="H231" t="s" s="0">
        <v>843</v>
      </c>
      <c r="I231" t="s" s="0">
        <v>31</v>
      </c>
      <c r="J231" t="n" s="2">
        <v>7.5</v>
      </c>
      <c r="K231" t="s">
        <v>33</v>
      </c>
      <c r="L231" t="s">
        <v>33</v>
      </c>
      <c r="M231" s="3">
        <f>IFERROR(K231/J231,0)</f>
      </c>
      <c r="N231" t="s">
        <v>133</v>
      </c>
      <c r="O231" t="s">
        <v>35</v>
      </c>
      <c r="P231" t="s">
        <v>844</v>
      </c>
      <c r="Q231" t="s">
        <v>33</v>
      </c>
      <c r="R231" t="s">
        <v>845</v>
      </c>
      <c r="S231" t="s">
        <v>53</v>
      </c>
      <c r="U231" t="s">
        <v>39</v>
      </c>
      <c r="V231" t="s">
        <v>39</v>
      </c>
      <c r="W231" t="s">
        <v>39</v>
      </c>
    </row>
    <row r="232">
      <c r="A232" t="s" s="0">
        <v>835</v>
      </c>
      <c r="B232" t="s" s="0">
        <v>163</v>
      </c>
      <c r="C232" t="s" s="0">
        <v>287</v>
      </c>
      <c r="D232" t="s" s="0">
        <v>836</v>
      </c>
      <c r="E232" t="s" s="0">
        <v>520</v>
      </c>
      <c r="F232" t="s" s="0">
        <v>837</v>
      </c>
      <c r="G232" t="s" s="0">
        <v>261</v>
      </c>
      <c r="H232" t="s" s="0">
        <v>846</v>
      </c>
      <c r="I232" t="s" s="0">
        <v>31</v>
      </c>
      <c r="J232" t="n" s="2">
        <v>7.5</v>
      </c>
      <c r="K232" t="s">
        <v>33</v>
      </c>
      <c r="L232" t="s">
        <v>33</v>
      </c>
      <c r="M232" s="3">
        <f>IFERROR(K232/J232,0)</f>
      </c>
      <c r="N232" t="s">
        <v>133</v>
      </c>
      <c r="O232" t="s">
        <v>35</v>
      </c>
      <c r="P232" t="s">
        <v>847</v>
      </c>
      <c r="Q232" t="s">
        <v>33</v>
      </c>
      <c r="R232" t="s">
        <v>848</v>
      </c>
      <c r="S232" t="s">
        <v>55</v>
      </c>
      <c r="T232" t="n" s="2">
        <v>8.3</v>
      </c>
      <c r="U232" t="s">
        <v>849</v>
      </c>
      <c r="V232" t="s">
        <v>39</v>
      </c>
      <c r="W232" t="n" s="2">
        <v>0.8</v>
      </c>
    </row>
    <row r="233">
      <c r="A233" t="s" s="0">
        <v>835</v>
      </c>
      <c r="B233" t="s" s="0">
        <v>163</v>
      </c>
      <c r="C233" t="s" s="0">
        <v>287</v>
      </c>
      <c r="D233" t="s" s="0">
        <v>836</v>
      </c>
      <c r="E233" t="s" s="0">
        <v>520</v>
      </c>
      <c r="F233" t="s" s="0">
        <v>837</v>
      </c>
      <c r="G233" t="s" s="0">
        <v>313</v>
      </c>
      <c r="H233" t="s" s="0">
        <v>524</v>
      </c>
      <c r="I233" t="s" s="0">
        <v>31</v>
      </c>
      <c r="J233" t="n" s="2">
        <v>8.1</v>
      </c>
      <c r="K233" t="s">
        <v>33</v>
      </c>
      <c r="L233" t="s">
        <v>33</v>
      </c>
      <c r="M233" s="3">
        <f>IFERROR(K233/J233,0)</f>
      </c>
      <c r="N233" t="s">
        <v>133</v>
      </c>
      <c r="O233" t="s">
        <v>35</v>
      </c>
      <c r="P233" t="s">
        <v>847</v>
      </c>
      <c r="Q233" t="s">
        <v>33</v>
      </c>
      <c r="R233" t="s">
        <v>850</v>
      </c>
      <c r="S233" t="s">
        <v>60</v>
      </c>
      <c r="U233" t="s">
        <v>39</v>
      </c>
      <c r="V233" t="s">
        <v>39</v>
      </c>
      <c r="W233" t="s">
        <v>39</v>
      </c>
    </row>
    <row r="234">
      <c r="A234" t="s" s="0">
        <v>851</v>
      </c>
      <c r="B234" t="s" s="0">
        <v>24</v>
      </c>
      <c r="C234" t="s" s="0">
        <v>25</v>
      </c>
      <c r="D234" t="s" s="0">
        <v>852</v>
      </c>
      <c r="E234" t="s" s="0">
        <v>810</v>
      </c>
      <c r="F234" t="s" s="0">
        <v>853</v>
      </c>
      <c r="G234" t="s" s="0">
        <v>40</v>
      </c>
      <c r="H234" t="s" s="0">
        <v>355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60</v>
      </c>
      <c r="O234" t="s">
        <v>42</v>
      </c>
      <c r="P234" t="s">
        <v>33</v>
      </c>
      <c r="Q234" t="s">
        <v>33</v>
      </c>
      <c r="R234" t="s">
        <v>33</v>
      </c>
      <c r="S234" t="s">
        <v>42</v>
      </c>
      <c r="T234" t="n" s="2">
        <v>7.2</v>
      </c>
      <c r="U234" t="s">
        <v>39</v>
      </c>
      <c r="V234" t="s">
        <v>39</v>
      </c>
      <c r="W234" t="s">
        <v>39</v>
      </c>
    </row>
    <row r="235">
      <c r="A235" t="s" s="0">
        <v>851</v>
      </c>
      <c r="B235" t="s" s="0">
        <v>24</v>
      </c>
      <c r="C235" t="s" s="0">
        <v>25</v>
      </c>
      <c r="D235" t="s" s="0">
        <v>852</v>
      </c>
      <c r="E235" t="s" s="0">
        <v>810</v>
      </c>
      <c r="F235" t="s" s="0">
        <v>853</v>
      </c>
      <c r="G235" t="s" s="0">
        <v>40</v>
      </c>
      <c r="H235" t="s" s="0">
        <v>50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60</v>
      </c>
      <c r="O235" t="s">
        <v>42</v>
      </c>
      <c r="P235" t="s">
        <v>33</v>
      </c>
      <c r="Q235" t="s">
        <v>33</v>
      </c>
      <c r="R235" t="s">
        <v>33</v>
      </c>
      <c r="S235" t="s">
        <v>49</v>
      </c>
      <c r="T235" t="n" s="2">
        <v>7.2</v>
      </c>
      <c r="U235" t="s">
        <v>39</v>
      </c>
      <c r="V235" t="s">
        <v>39</v>
      </c>
      <c r="W235" t="s">
        <v>39</v>
      </c>
    </row>
    <row r="236">
      <c r="A236" t="s" s="0">
        <v>851</v>
      </c>
      <c r="B236" t="s" s="0">
        <v>24</v>
      </c>
      <c r="C236" t="s" s="0">
        <v>25</v>
      </c>
      <c r="D236" t="s" s="0">
        <v>852</v>
      </c>
      <c r="E236" t="s" s="0">
        <v>810</v>
      </c>
      <c r="F236" t="s" s="0">
        <v>853</v>
      </c>
      <c r="G236" t="s" s="0">
        <v>29</v>
      </c>
      <c r="H236" t="s" s="0">
        <v>54</v>
      </c>
      <c r="I236" t="s" s="0">
        <v>31</v>
      </c>
      <c r="J236" t="n" s="2">
        <v>8.5</v>
      </c>
      <c r="K236" t="n" s="2">
        <v>6.0</v>
      </c>
      <c r="L236" t="n" s="2">
        <v>2.5</v>
      </c>
      <c r="M236" s="3">
        <f>IFERROR(K236/J236,0)</f>
      </c>
      <c r="N236" t="s">
        <v>60</v>
      </c>
      <c r="O236" t="s">
        <v>42</v>
      </c>
      <c r="P236" t="s">
        <v>854</v>
      </c>
      <c r="Q236" t="s">
        <v>855</v>
      </c>
      <c r="R236" t="s">
        <v>856</v>
      </c>
      <c r="S236" t="s">
        <v>51</v>
      </c>
      <c r="T236" t="n" s="2">
        <v>8.85</v>
      </c>
      <c r="U236" t="s">
        <v>857</v>
      </c>
      <c r="V236" t="s">
        <v>858</v>
      </c>
      <c r="W236" t="n" s="2">
        <v>0.35</v>
      </c>
    </row>
    <row r="237">
      <c r="A237" t="s" s="0">
        <v>851</v>
      </c>
      <c r="B237" t="s" s="0">
        <v>24</v>
      </c>
      <c r="C237" t="s" s="0">
        <v>25</v>
      </c>
      <c r="D237" t="s" s="0">
        <v>852</v>
      </c>
      <c r="E237" t="s" s="0">
        <v>810</v>
      </c>
      <c r="F237" t="s" s="0">
        <v>853</v>
      </c>
      <c r="G237" t="s" s="0">
        <v>29</v>
      </c>
      <c r="H237" t="s" s="0">
        <v>61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60</v>
      </c>
      <c r="O237" t="s">
        <v>42</v>
      </c>
      <c r="P237" t="s">
        <v>33</v>
      </c>
      <c r="Q237" t="s">
        <v>33</v>
      </c>
      <c r="R237" t="s">
        <v>33</v>
      </c>
      <c r="S237" t="s">
        <v>53</v>
      </c>
      <c r="T237" t="n" s="2">
        <v>8.85</v>
      </c>
      <c r="U237" t="s">
        <v>39</v>
      </c>
      <c r="V237" t="s">
        <v>39</v>
      </c>
      <c r="W237" t="s">
        <v>39</v>
      </c>
    </row>
    <row r="238">
      <c r="A238" t="s" s="0">
        <v>851</v>
      </c>
      <c r="B238" t="s" s="0">
        <v>24</v>
      </c>
      <c r="C238" t="s" s="0">
        <v>25</v>
      </c>
      <c r="D238" t="s" s="0">
        <v>852</v>
      </c>
      <c r="E238" t="s" s="0">
        <v>810</v>
      </c>
      <c r="F238" t="s" s="0">
        <v>853</v>
      </c>
      <c r="G238" t="s" s="0">
        <v>29</v>
      </c>
      <c r="H238" t="s" s="0">
        <v>68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60</v>
      </c>
      <c r="O238" t="s">
        <v>42</v>
      </c>
      <c r="P238" t="s">
        <v>33</v>
      </c>
      <c r="Q238" t="s">
        <v>33</v>
      </c>
      <c r="R238" t="s">
        <v>33</v>
      </c>
      <c r="S238" t="s">
        <v>55</v>
      </c>
      <c r="T238" t="n" s="2">
        <v>8.85</v>
      </c>
      <c r="U238" t="s">
        <v>39</v>
      </c>
      <c r="V238" t="s">
        <v>39</v>
      </c>
      <c r="W238" t="s">
        <v>39</v>
      </c>
    </row>
    <row r="239">
      <c r="A239" t="s" s="0">
        <v>851</v>
      </c>
      <c r="B239" t="s" s="0">
        <v>24</v>
      </c>
      <c r="C239" t="s" s="0">
        <v>25</v>
      </c>
      <c r="D239" t="s" s="0">
        <v>852</v>
      </c>
      <c r="E239" t="s" s="0">
        <v>810</v>
      </c>
      <c r="F239" t="s" s="0">
        <v>853</v>
      </c>
      <c r="G239" t="s" s="0">
        <v>29</v>
      </c>
      <c r="H239" t="s" s="0">
        <v>72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60</v>
      </c>
      <c r="O239" t="s">
        <v>42</v>
      </c>
      <c r="P239" t="s">
        <v>33</v>
      </c>
      <c r="Q239" t="s">
        <v>33</v>
      </c>
      <c r="R239" t="s">
        <v>33</v>
      </c>
      <c r="S239" t="s">
        <v>60</v>
      </c>
      <c r="T239" t="n" s="2">
        <v>8.85</v>
      </c>
      <c r="U239" t="s">
        <v>39</v>
      </c>
      <c r="V239" t="s">
        <v>39</v>
      </c>
      <c r="W239" t="s">
        <v>39</v>
      </c>
    </row>
    <row r="240">
      <c r="A240" t="s" s="0">
        <v>859</v>
      </c>
      <c r="B240" t="s" s="0">
        <v>24</v>
      </c>
      <c r="C240" t="s" s="0">
        <v>383</v>
      </c>
      <c r="D240" t="s" s="0">
        <v>860</v>
      </c>
      <c r="E240" t="s" s="0">
        <v>861</v>
      </c>
      <c r="F240" t="s" s="0">
        <v>862</v>
      </c>
      <c r="G240" t="s" s="0">
        <v>863</v>
      </c>
      <c r="H240" t="s" s="0">
        <v>864</v>
      </c>
      <c r="I240" t="s" s="0">
        <v>865</v>
      </c>
      <c r="J240" t="n" s="2">
        <v>3.12</v>
      </c>
      <c r="K240" t="n" s="2">
        <v>1.8</v>
      </c>
      <c r="L240" t="n" s="2">
        <v>1.32</v>
      </c>
      <c r="M240" s="3">
        <f>IFERROR(K240/J240,0)</f>
      </c>
      <c r="N240" t="s">
        <v>133</v>
      </c>
      <c r="O240" t="s">
        <v>51</v>
      </c>
      <c r="P240" t="s">
        <v>866</v>
      </c>
      <c r="Q240" t="s">
        <v>867</v>
      </c>
      <c r="R240" t="s">
        <v>868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859</v>
      </c>
      <c r="B241" t="s" s="0">
        <v>24</v>
      </c>
      <c r="C241" t="s" s="0">
        <v>383</v>
      </c>
      <c r="D241" t="s" s="0">
        <v>860</v>
      </c>
      <c r="E241" t="s" s="0">
        <v>861</v>
      </c>
      <c r="F241" t="s" s="0">
        <v>862</v>
      </c>
      <c r="G241" t="s" s="0">
        <v>488</v>
      </c>
      <c r="H241" t="s" s="0">
        <v>335</v>
      </c>
      <c r="I241" t="s" s="0">
        <v>684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133</v>
      </c>
      <c r="O241" t="s">
        <v>51</v>
      </c>
      <c r="P241" t="s">
        <v>869</v>
      </c>
      <c r="Q241" t="s">
        <v>33</v>
      </c>
      <c r="R241" t="s">
        <v>870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871</v>
      </c>
      <c r="B242" t="s" s="0">
        <v>163</v>
      </c>
      <c r="C242" t="s" s="0">
        <v>678</v>
      </c>
      <c r="D242" t="s" s="0">
        <v>872</v>
      </c>
      <c r="E242" t="s" s="0">
        <v>861</v>
      </c>
      <c r="F242" t="s" s="0">
        <v>873</v>
      </c>
      <c r="G242" t="s" s="0">
        <v>863</v>
      </c>
      <c r="H242" t="s" s="0">
        <v>864</v>
      </c>
      <c r="I242" t="s" s="0">
        <v>684</v>
      </c>
      <c r="J242" t="n" s="2">
        <v>2.4</v>
      </c>
      <c r="K242" t="s">
        <v>33</v>
      </c>
      <c r="L242" t="s">
        <v>33</v>
      </c>
      <c r="M242" s="3">
        <f>IFERROR(K242/J242,0)</f>
      </c>
      <c r="N242" t="s">
        <v>69</v>
      </c>
      <c r="O242" t="s">
        <v>35</v>
      </c>
      <c r="P242" t="s">
        <v>874</v>
      </c>
      <c r="Q242" t="s">
        <v>33</v>
      </c>
      <c r="R242" t="s">
        <v>875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871</v>
      </c>
      <c r="B243" t="s" s="0">
        <v>163</v>
      </c>
      <c r="C243" t="s" s="0">
        <v>678</v>
      </c>
      <c r="D243" t="s" s="0">
        <v>872</v>
      </c>
      <c r="E243" t="s" s="0">
        <v>861</v>
      </c>
      <c r="F243" t="s" s="0">
        <v>873</v>
      </c>
      <c r="G243" t="s" s="0">
        <v>488</v>
      </c>
      <c r="H243" t="s" s="0">
        <v>277</v>
      </c>
      <c r="I243" t="s" s="0">
        <v>124</v>
      </c>
      <c r="J243" t="n" s="2">
        <v>3.6</v>
      </c>
      <c r="K243" t="s">
        <v>33</v>
      </c>
      <c r="L243" t="s">
        <v>33</v>
      </c>
      <c r="M243" s="3">
        <f>IFERROR(K243/J243,0)</f>
      </c>
      <c r="N243" t="s">
        <v>69</v>
      </c>
      <c r="O243" t="s">
        <v>35</v>
      </c>
      <c r="P243" t="s">
        <v>876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877</v>
      </c>
      <c r="B244" t="s" s="0">
        <v>163</v>
      </c>
      <c r="C244" t="s" s="0">
        <v>678</v>
      </c>
      <c r="D244" t="s" s="0">
        <v>878</v>
      </c>
      <c r="E244" t="s" s="0">
        <v>879</v>
      </c>
      <c r="F244" t="s" s="0">
        <v>880</v>
      </c>
      <c r="G244" t="s" s="0">
        <v>99</v>
      </c>
      <c r="H244" t="s" s="0">
        <v>683</v>
      </c>
      <c r="I244" t="s" s="0">
        <v>693</v>
      </c>
      <c r="J244" t="s" s="0">
        <v>33</v>
      </c>
      <c r="K244" t="n" s="2">
        <v>4.3</v>
      </c>
      <c r="L244" t="s">
        <v>33</v>
      </c>
      <c r="M244" s="3">
        <f>IFERROR(K244/J244,0)</f>
      </c>
      <c r="N244" t="s">
        <v>51</v>
      </c>
      <c r="O244" t="s">
        <v>42</v>
      </c>
      <c r="P244" t="s">
        <v>33</v>
      </c>
      <c r="Q244" t="s">
        <v>881</v>
      </c>
      <c r="R244" t="s">
        <v>33</v>
      </c>
      <c r="S244" t="s">
        <v>42</v>
      </c>
      <c r="T244" t="n" s="2">
        <v>6.5</v>
      </c>
      <c r="U244" t="s">
        <v>39</v>
      </c>
      <c r="V244" t="s">
        <v>39</v>
      </c>
      <c r="W244" t="s">
        <v>39</v>
      </c>
    </row>
    <row r="245">
      <c r="A245" t="s" s="0">
        <v>877</v>
      </c>
      <c r="B245" t="s" s="0">
        <v>163</v>
      </c>
      <c r="C245" t="s" s="0">
        <v>678</v>
      </c>
      <c r="D245" t="s" s="0">
        <v>878</v>
      </c>
      <c r="E245" t="s" s="0">
        <v>879</v>
      </c>
      <c r="F245" t="s" s="0">
        <v>880</v>
      </c>
      <c r="G245" t="s" s="0">
        <v>29</v>
      </c>
      <c r="H245" t="s" s="0">
        <v>771</v>
      </c>
      <c r="I245" t="s" s="0">
        <v>31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51</v>
      </c>
      <c r="O245" t="s">
        <v>42</v>
      </c>
      <c r="P245" t="s">
        <v>882</v>
      </c>
      <c r="Q245" t="s">
        <v>33</v>
      </c>
      <c r="R245" t="s">
        <v>883</v>
      </c>
      <c r="S245" t="s">
        <v>49</v>
      </c>
      <c r="T245" t="n" s="2">
        <v>7.8</v>
      </c>
      <c r="U245" t="s">
        <v>884</v>
      </c>
      <c r="V245" t="s">
        <v>39</v>
      </c>
      <c r="W245" t="n" s="2">
        <v>0.3</v>
      </c>
    </row>
    <row r="246">
      <c r="A246" t="s" s="0">
        <v>877</v>
      </c>
      <c r="B246" t="s" s="0">
        <v>163</v>
      </c>
      <c r="C246" t="s" s="0">
        <v>678</v>
      </c>
      <c r="D246" t="s" s="0">
        <v>878</v>
      </c>
      <c r="E246" t="s" s="0">
        <v>879</v>
      </c>
      <c r="F246" t="s" s="0">
        <v>880</v>
      </c>
      <c r="G246" t="s" s="0">
        <v>104</v>
      </c>
      <c r="H246" t="s" s="0">
        <v>885</v>
      </c>
      <c r="I246" t="s" s="0">
        <v>106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51</v>
      </c>
      <c r="O246" t="s">
        <v>42</v>
      </c>
      <c r="P246" t="s">
        <v>886</v>
      </c>
      <c r="Q246" t="s">
        <v>33</v>
      </c>
      <c r="R246" t="s">
        <v>887</v>
      </c>
      <c r="S246" t="s">
        <v>51</v>
      </c>
      <c r="U246" t="s">
        <v>39</v>
      </c>
      <c r="V246" t="s">
        <v>39</v>
      </c>
      <c r="W246" t="s">
        <v>39</v>
      </c>
    </row>
    <row r="247">
      <c r="A247" t="s" s="0">
        <v>888</v>
      </c>
      <c r="B247" t="s" s="0">
        <v>24</v>
      </c>
      <c r="C247" t="s" s="0">
        <v>688</v>
      </c>
      <c r="D247" t="s" s="0">
        <v>889</v>
      </c>
      <c r="E247" t="s" s="0">
        <v>890</v>
      </c>
      <c r="F247" t="s" s="0">
        <v>891</v>
      </c>
      <c r="G247" t="s" s="0">
        <v>99</v>
      </c>
      <c r="H247" t="s" s="0">
        <v>892</v>
      </c>
      <c r="I247" t="s" s="0">
        <v>279</v>
      </c>
      <c r="J247" t="n" s="2">
        <v>3.8</v>
      </c>
      <c r="K247" t="s">
        <v>33</v>
      </c>
      <c r="L247" t="s">
        <v>33</v>
      </c>
      <c r="M247" s="3">
        <f>IFERROR(K247/J247,0)</f>
      </c>
      <c r="N247" t="s">
        <v>53</v>
      </c>
      <c r="O247" t="s">
        <v>35</v>
      </c>
      <c r="P247" t="s">
        <v>893</v>
      </c>
      <c r="Q247" t="s">
        <v>33</v>
      </c>
      <c r="R247" t="s">
        <v>894</v>
      </c>
      <c r="S247" t="s">
        <v>42</v>
      </c>
      <c r="T247" t="n" s="2">
        <v>5.39</v>
      </c>
      <c r="U247" t="s">
        <v>895</v>
      </c>
      <c r="V247" t="s">
        <v>39</v>
      </c>
      <c r="W247" t="n" s="2">
        <v>1.59</v>
      </c>
    </row>
    <row r="248">
      <c r="A248" t="s" s="0">
        <v>888</v>
      </c>
      <c r="B248" t="s" s="0">
        <v>24</v>
      </c>
      <c r="C248" t="s" s="0">
        <v>688</v>
      </c>
      <c r="D248" t="s" s="0">
        <v>889</v>
      </c>
      <c r="E248" t="s" s="0">
        <v>890</v>
      </c>
      <c r="F248" t="s" s="0">
        <v>891</v>
      </c>
      <c r="G248" t="s" s="0">
        <v>728</v>
      </c>
      <c r="H248" t="s" s="0">
        <v>896</v>
      </c>
      <c r="I248" t="s" s="0">
        <v>31</v>
      </c>
      <c r="J248" t="n" s="2">
        <v>4.3</v>
      </c>
      <c r="K248" t="s">
        <v>33</v>
      </c>
      <c r="L248" t="s">
        <v>33</v>
      </c>
      <c r="M248" s="3">
        <f>IFERROR(K248/J248,0)</f>
      </c>
      <c r="N248" t="s">
        <v>53</v>
      </c>
      <c r="O248" t="s">
        <v>35</v>
      </c>
      <c r="P248" t="s">
        <v>897</v>
      </c>
      <c r="Q248" t="s">
        <v>33</v>
      </c>
      <c r="R248" t="s">
        <v>898</v>
      </c>
      <c r="S248" t="s">
        <v>49</v>
      </c>
      <c r="T248" t="n" s="2">
        <v>5.95</v>
      </c>
      <c r="U248" t="s">
        <v>899</v>
      </c>
      <c r="V248" t="s">
        <v>39</v>
      </c>
      <c r="W248" t="n" s="2">
        <v>1.65</v>
      </c>
    </row>
    <row r="249">
      <c r="A249" t="s" s="0">
        <v>888</v>
      </c>
      <c r="B249" t="s" s="0">
        <v>24</v>
      </c>
      <c r="C249" t="s" s="0">
        <v>688</v>
      </c>
      <c r="D249" t="s" s="0">
        <v>889</v>
      </c>
      <c r="E249" t="s" s="0">
        <v>890</v>
      </c>
      <c r="F249" t="s" s="0">
        <v>891</v>
      </c>
      <c r="G249" t="s" s="0">
        <v>29</v>
      </c>
      <c r="H249" t="s" s="0">
        <v>407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53</v>
      </c>
      <c r="O249" t="s">
        <v>35</v>
      </c>
      <c r="P249" t="s">
        <v>33</v>
      </c>
      <c r="Q249" t="s">
        <v>33</v>
      </c>
      <c r="R249" t="s">
        <v>33</v>
      </c>
      <c r="S249" t="s">
        <v>51</v>
      </c>
      <c r="T249" t="n" s="2">
        <v>5.78</v>
      </c>
      <c r="U249" t="s">
        <v>39</v>
      </c>
      <c r="V249" t="s">
        <v>39</v>
      </c>
      <c r="W249" t="s">
        <v>39</v>
      </c>
    </row>
    <row r="250">
      <c r="A250" t="s" s="0">
        <v>900</v>
      </c>
      <c r="B250" t="s" s="0">
        <v>24</v>
      </c>
      <c r="C250" t="s" s="0">
        <v>746</v>
      </c>
      <c r="D250" t="s" s="0">
        <v>901</v>
      </c>
      <c r="E250" t="s" s="0">
        <v>474</v>
      </c>
      <c r="F250" t="s" s="0">
        <v>902</v>
      </c>
      <c r="G250" t="s" s="0">
        <v>388</v>
      </c>
      <c r="H250" t="s" s="0">
        <v>825</v>
      </c>
      <c r="I250" t="s" s="0">
        <v>693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35</v>
      </c>
      <c r="P250" t="s">
        <v>33</v>
      </c>
      <c r="Q250" t="s">
        <v>33</v>
      </c>
      <c r="R250" t="s">
        <v>33</v>
      </c>
      <c r="S250" t="s">
        <v>42</v>
      </c>
      <c r="T250" t="n" s="2">
        <v>6.9</v>
      </c>
      <c r="U250" t="s">
        <v>39</v>
      </c>
      <c r="V250" t="s">
        <v>39</v>
      </c>
      <c r="W250" t="s">
        <v>39</v>
      </c>
    </row>
    <row r="251">
      <c r="A251" t="s" s="0">
        <v>903</v>
      </c>
      <c r="B251" t="s" s="0">
        <v>24</v>
      </c>
      <c r="C251" t="s" s="0">
        <v>92</v>
      </c>
      <c r="D251" t="s" s="0">
        <v>904</v>
      </c>
      <c r="E251" t="s" s="0">
        <v>94</v>
      </c>
      <c r="F251" t="s" s="0">
        <v>905</v>
      </c>
      <c r="G251" t="s" s="0">
        <v>29</v>
      </c>
      <c r="H251" t="s" s="0">
        <v>906</v>
      </c>
      <c r="I251" t="s" s="0">
        <v>31</v>
      </c>
      <c r="J251" t="n" s="2">
        <v>11.0</v>
      </c>
      <c r="K251" t="s">
        <v>33</v>
      </c>
      <c r="L251" t="s">
        <v>33</v>
      </c>
      <c r="M251" s="3">
        <f>IFERROR(K251/J251,0)</f>
      </c>
      <c r="N251" t="s">
        <v>907</v>
      </c>
      <c r="O251" t="s">
        <v>49</v>
      </c>
      <c r="P251" t="s">
        <v>908</v>
      </c>
      <c r="Q251" t="s">
        <v>33</v>
      </c>
      <c r="R251" t="s">
        <v>909</v>
      </c>
      <c r="S251" t="s">
        <v>42</v>
      </c>
      <c r="T251" t="n" s="2">
        <v>11.0</v>
      </c>
      <c r="U251" t="s">
        <v>58</v>
      </c>
      <c r="V251" t="s">
        <v>39</v>
      </c>
      <c r="W251" t="n" s="2">
        <v>0.0</v>
      </c>
    </row>
    <row r="252">
      <c r="A252" t="s" s="0">
        <v>903</v>
      </c>
      <c r="B252" t="s" s="0">
        <v>24</v>
      </c>
      <c r="C252" t="s" s="0">
        <v>92</v>
      </c>
      <c r="D252" t="s" s="0">
        <v>904</v>
      </c>
      <c r="E252" t="s" s="0">
        <v>94</v>
      </c>
      <c r="F252" t="s" s="0">
        <v>905</v>
      </c>
      <c r="G252" t="s" s="0">
        <v>775</v>
      </c>
      <c r="H252" t="s" s="0">
        <v>910</v>
      </c>
      <c r="I252" t="s" s="0">
        <v>106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907</v>
      </c>
      <c r="O252" t="s">
        <v>49</v>
      </c>
      <c r="P252" t="s">
        <v>911</v>
      </c>
      <c r="Q252" t="s">
        <v>33</v>
      </c>
      <c r="R252" t="s">
        <v>912</v>
      </c>
      <c r="S252" t="s">
        <v>49</v>
      </c>
      <c r="U252" t="s">
        <v>39</v>
      </c>
      <c r="V252" t="s">
        <v>39</v>
      </c>
      <c r="W252" t="s">
        <v>39</v>
      </c>
    </row>
    <row r="253">
      <c r="A253" t="s" s="0">
        <v>903</v>
      </c>
      <c r="B253" t="s" s="0">
        <v>24</v>
      </c>
      <c r="C253" t="s" s="0">
        <v>92</v>
      </c>
      <c r="D253" t="s" s="0">
        <v>904</v>
      </c>
      <c r="E253" t="s" s="0">
        <v>94</v>
      </c>
      <c r="F253" t="s" s="0">
        <v>905</v>
      </c>
      <c r="G253" t="s" s="0">
        <v>99</v>
      </c>
      <c r="H253" t="s" s="0">
        <v>892</v>
      </c>
      <c r="I253" t="s" s="0">
        <v>31</v>
      </c>
      <c r="J253" t="n" s="2">
        <v>9.5</v>
      </c>
      <c r="K253" t="n" s="2">
        <v>5.5</v>
      </c>
      <c r="L253" t="n" s="2">
        <v>4.0</v>
      </c>
      <c r="M253" s="3">
        <f>IFERROR(K253/J253,0)</f>
      </c>
      <c r="N253" t="s">
        <v>907</v>
      </c>
      <c r="O253" t="s">
        <v>49</v>
      </c>
      <c r="P253" t="s">
        <v>913</v>
      </c>
      <c r="Q253" t="s">
        <v>914</v>
      </c>
      <c r="R253" t="s">
        <v>915</v>
      </c>
      <c r="S253" t="s">
        <v>51</v>
      </c>
      <c r="T253" t="n" s="2">
        <v>8.9</v>
      </c>
      <c r="U253" t="s">
        <v>227</v>
      </c>
      <c r="V253" t="s">
        <v>916</v>
      </c>
      <c r="W253" t="n" s="2">
        <v>-0.6</v>
      </c>
    </row>
    <row r="254">
      <c r="A254" t="s" s="0">
        <v>903</v>
      </c>
      <c r="B254" t="s" s="0">
        <v>24</v>
      </c>
      <c r="C254" t="s" s="0">
        <v>92</v>
      </c>
      <c r="D254" t="s" s="0">
        <v>904</v>
      </c>
      <c r="E254" t="s" s="0">
        <v>94</v>
      </c>
      <c r="F254" t="s" s="0">
        <v>905</v>
      </c>
      <c r="G254" t="s" s="0">
        <v>29</v>
      </c>
      <c r="H254" t="s" s="0">
        <v>61</v>
      </c>
      <c r="I254" t="s" s="0">
        <v>31</v>
      </c>
      <c r="J254" t="n" s="2">
        <v>11.0</v>
      </c>
      <c r="K254" t="s">
        <v>33</v>
      </c>
      <c r="L254" t="s">
        <v>33</v>
      </c>
      <c r="M254" s="3">
        <f>IFERROR(K254/J254,0)</f>
      </c>
      <c r="N254" t="s">
        <v>907</v>
      </c>
      <c r="O254" t="s">
        <v>49</v>
      </c>
      <c r="P254" t="s">
        <v>917</v>
      </c>
      <c r="Q254" t="s">
        <v>33</v>
      </c>
      <c r="R254" t="s">
        <v>33</v>
      </c>
      <c r="S254" t="s">
        <v>53</v>
      </c>
      <c r="T254" t="n" s="2">
        <v>11.0</v>
      </c>
      <c r="U254" t="s">
        <v>58</v>
      </c>
      <c r="V254" t="s">
        <v>39</v>
      </c>
      <c r="W254" t="n" s="2">
        <v>0.0</v>
      </c>
    </row>
    <row r="255">
      <c r="A255" t="s" s="0">
        <v>903</v>
      </c>
      <c r="B255" t="s" s="0">
        <v>24</v>
      </c>
      <c r="C255" t="s" s="0">
        <v>92</v>
      </c>
      <c r="D255" t="s" s="0">
        <v>904</v>
      </c>
      <c r="E255" t="s" s="0">
        <v>94</v>
      </c>
      <c r="F255" t="s" s="0">
        <v>905</v>
      </c>
      <c r="G255" t="s" s="0">
        <v>29</v>
      </c>
      <c r="H255" t="s" s="0">
        <v>843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907</v>
      </c>
      <c r="O255" t="s">
        <v>49</v>
      </c>
      <c r="P255" t="s">
        <v>33</v>
      </c>
      <c r="Q255" t="s">
        <v>33</v>
      </c>
      <c r="R255" t="s">
        <v>33</v>
      </c>
      <c r="S255" t="s">
        <v>55</v>
      </c>
      <c r="T255" t="n" s="2">
        <v>11.0</v>
      </c>
      <c r="U255" t="s">
        <v>39</v>
      </c>
      <c r="V255" t="s">
        <v>39</v>
      </c>
      <c r="W255" t="s">
        <v>39</v>
      </c>
    </row>
    <row r="256">
      <c r="A256" t="s" s="0">
        <v>903</v>
      </c>
      <c r="B256" t="s" s="0">
        <v>24</v>
      </c>
      <c r="C256" t="s" s="0">
        <v>92</v>
      </c>
      <c r="D256" t="s" s="0">
        <v>904</v>
      </c>
      <c r="E256" t="s" s="0">
        <v>94</v>
      </c>
      <c r="F256" t="s" s="0">
        <v>905</v>
      </c>
      <c r="G256" t="s" s="0">
        <v>775</v>
      </c>
      <c r="H256" t="s" s="0">
        <v>918</v>
      </c>
      <c r="I256" t="s" s="0">
        <v>106</v>
      </c>
      <c r="J256" t="n" s="2">
        <v>11.5</v>
      </c>
      <c r="K256" t="s">
        <v>33</v>
      </c>
      <c r="L256" t="s">
        <v>33</v>
      </c>
      <c r="M256" s="3">
        <f>IFERROR(K256/J256,0)</f>
      </c>
      <c r="N256" t="s">
        <v>907</v>
      </c>
      <c r="O256" t="s">
        <v>49</v>
      </c>
      <c r="P256" t="s">
        <v>919</v>
      </c>
      <c r="Q256" t="s">
        <v>33</v>
      </c>
      <c r="R256" t="s">
        <v>920</v>
      </c>
      <c r="S256" t="s">
        <v>60</v>
      </c>
      <c r="U256" t="s">
        <v>39</v>
      </c>
      <c r="V256" t="s">
        <v>39</v>
      </c>
      <c r="W256" t="s">
        <v>39</v>
      </c>
    </row>
    <row r="257">
      <c r="A257" t="s" s="0">
        <v>921</v>
      </c>
      <c r="B257" t="s" s="0">
        <v>24</v>
      </c>
      <c r="C257" t="s" s="0">
        <v>92</v>
      </c>
      <c r="D257" t="s" s="0">
        <v>922</v>
      </c>
      <c r="E257" t="s" s="0">
        <v>923</v>
      </c>
      <c r="F257" t="s" s="0">
        <v>924</v>
      </c>
      <c r="G257" t="s" s="0">
        <v>99</v>
      </c>
      <c r="H257" t="s" s="0">
        <v>682</v>
      </c>
      <c r="I257" t="s" s="0">
        <v>31</v>
      </c>
      <c r="J257" t="n" s="2">
        <v>9.7</v>
      </c>
      <c r="K257" t="s">
        <v>33</v>
      </c>
      <c r="L257" t="s">
        <v>33</v>
      </c>
      <c r="M257" s="3">
        <f>IFERROR(K257/J257,0)</f>
      </c>
      <c r="N257" t="s">
        <v>925</v>
      </c>
      <c r="O257" t="s">
        <v>53</v>
      </c>
      <c r="P257" t="s">
        <v>926</v>
      </c>
      <c r="Q257" t="s">
        <v>33</v>
      </c>
      <c r="R257" t="s">
        <v>927</v>
      </c>
      <c r="S257" t="s">
        <v>42</v>
      </c>
      <c r="T257" t="n" s="2">
        <v>8.8</v>
      </c>
      <c r="U257" t="s">
        <v>928</v>
      </c>
      <c r="V257" t="s">
        <v>39</v>
      </c>
      <c r="W257" t="n" s="2">
        <v>-0.9</v>
      </c>
    </row>
    <row r="258">
      <c r="A258" t="s" s="0">
        <v>921</v>
      </c>
      <c r="B258" t="s" s="0">
        <v>24</v>
      </c>
      <c r="C258" t="s" s="0">
        <v>92</v>
      </c>
      <c r="D258" t="s" s="0">
        <v>922</v>
      </c>
      <c r="E258" t="s" s="0">
        <v>923</v>
      </c>
      <c r="F258" t="s" s="0">
        <v>924</v>
      </c>
      <c r="G258" t="s" s="0">
        <v>29</v>
      </c>
      <c r="H258" t="s" s="0">
        <v>906</v>
      </c>
      <c r="I258" t="s" s="0">
        <v>31</v>
      </c>
      <c r="J258" t="n" s="2">
        <v>10.4</v>
      </c>
      <c r="K258" t="s">
        <v>33</v>
      </c>
      <c r="L258" t="s">
        <v>33</v>
      </c>
      <c r="M258" s="3">
        <f>IFERROR(K258/J258,0)</f>
      </c>
      <c r="N258" t="s">
        <v>925</v>
      </c>
      <c r="O258" t="s">
        <v>53</v>
      </c>
      <c r="P258" t="s">
        <v>929</v>
      </c>
      <c r="Q258" t="s">
        <v>33</v>
      </c>
      <c r="R258" t="s">
        <v>930</v>
      </c>
      <c r="S258" t="s">
        <v>49</v>
      </c>
      <c r="T258" t="n" s="2">
        <v>10.7</v>
      </c>
      <c r="U258" t="s">
        <v>931</v>
      </c>
      <c r="V258" t="s">
        <v>39</v>
      </c>
      <c r="W258" t="n" s="2">
        <v>0.3</v>
      </c>
    </row>
    <row r="259">
      <c r="A259" t="s" s="0">
        <v>921</v>
      </c>
      <c r="B259" t="s" s="0">
        <v>24</v>
      </c>
      <c r="C259" t="s" s="0">
        <v>92</v>
      </c>
      <c r="D259" t="s" s="0">
        <v>922</v>
      </c>
      <c r="E259" t="s" s="0">
        <v>923</v>
      </c>
      <c r="F259" t="s" s="0">
        <v>924</v>
      </c>
      <c r="G259" t="s" s="0">
        <v>775</v>
      </c>
      <c r="H259" t="s" s="0">
        <v>910</v>
      </c>
      <c r="I259" t="s" s="0">
        <v>106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925</v>
      </c>
      <c r="O259" t="s">
        <v>53</v>
      </c>
      <c r="P259" t="s">
        <v>932</v>
      </c>
      <c r="Q259" t="s">
        <v>33</v>
      </c>
      <c r="R259" t="s">
        <v>933</v>
      </c>
      <c r="S259" t="s">
        <v>51</v>
      </c>
      <c r="U259" t="s">
        <v>39</v>
      </c>
      <c r="V259" t="s">
        <v>39</v>
      </c>
      <c r="W259" t="s">
        <v>39</v>
      </c>
    </row>
    <row r="260">
      <c r="A260" t="s" s="0">
        <v>921</v>
      </c>
      <c r="B260" t="s" s="0">
        <v>24</v>
      </c>
      <c r="C260" t="s" s="0">
        <v>92</v>
      </c>
      <c r="D260" t="s" s="0">
        <v>922</v>
      </c>
      <c r="E260" t="s" s="0">
        <v>923</v>
      </c>
      <c r="F260" t="s" s="0">
        <v>924</v>
      </c>
      <c r="G260" t="s" s="0">
        <v>29</v>
      </c>
      <c r="H260" t="s" s="0">
        <v>61</v>
      </c>
      <c r="I260" t="s" s="0">
        <v>31</v>
      </c>
      <c r="J260" t="n" s="2">
        <v>10.3</v>
      </c>
      <c r="K260" t="s">
        <v>33</v>
      </c>
      <c r="L260" t="s">
        <v>33</v>
      </c>
      <c r="M260" s="3">
        <f>IFERROR(K260/J260,0)</f>
      </c>
      <c r="N260" t="s">
        <v>925</v>
      </c>
      <c r="O260" t="s">
        <v>53</v>
      </c>
      <c r="P260" t="s">
        <v>934</v>
      </c>
      <c r="Q260" t="s">
        <v>33</v>
      </c>
      <c r="R260" t="s">
        <v>935</v>
      </c>
      <c r="S260" t="s">
        <v>53</v>
      </c>
      <c r="T260" t="n" s="2">
        <v>10.7</v>
      </c>
      <c r="U260" t="s">
        <v>936</v>
      </c>
      <c r="V260" t="s">
        <v>39</v>
      </c>
      <c r="W260" t="n" s="2">
        <v>0.4</v>
      </c>
    </row>
    <row r="261">
      <c r="A261" t="s" s="0">
        <v>921</v>
      </c>
      <c r="B261" t="s" s="0">
        <v>24</v>
      </c>
      <c r="C261" t="s" s="0">
        <v>92</v>
      </c>
      <c r="D261" t="s" s="0">
        <v>922</v>
      </c>
      <c r="E261" t="s" s="0">
        <v>923</v>
      </c>
      <c r="F261" t="s" s="0">
        <v>924</v>
      </c>
      <c r="G261" t="s" s="0">
        <v>29</v>
      </c>
      <c r="H261" t="s" s="0">
        <v>68</v>
      </c>
      <c r="I261" t="s" s="0">
        <v>31</v>
      </c>
      <c r="J261" t="n" s="2">
        <v>11.0</v>
      </c>
      <c r="K261" t="s">
        <v>33</v>
      </c>
      <c r="L261" t="s">
        <v>33</v>
      </c>
      <c r="M261" s="3">
        <f>IFERROR(K261/J261,0)</f>
      </c>
      <c r="N261" t="s">
        <v>925</v>
      </c>
      <c r="O261" t="s">
        <v>53</v>
      </c>
      <c r="P261" t="s">
        <v>937</v>
      </c>
      <c r="Q261" t="s">
        <v>33</v>
      </c>
      <c r="R261" t="s">
        <v>938</v>
      </c>
      <c r="S261" t="s">
        <v>55</v>
      </c>
      <c r="T261" t="n" s="2">
        <v>10.7</v>
      </c>
      <c r="U261" t="s">
        <v>939</v>
      </c>
      <c r="V261" t="s">
        <v>39</v>
      </c>
      <c r="W261" t="n" s="2">
        <v>-0.3</v>
      </c>
    </row>
    <row r="262">
      <c r="A262" t="s" s="0">
        <v>921</v>
      </c>
      <c r="B262" t="s" s="0">
        <v>24</v>
      </c>
      <c r="C262" t="s" s="0">
        <v>92</v>
      </c>
      <c r="D262" t="s" s="0">
        <v>922</v>
      </c>
      <c r="E262" t="s" s="0">
        <v>923</v>
      </c>
      <c r="F262" t="s" s="0">
        <v>924</v>
      </c>
      <c r="G262" t="s" s="0">
        <v>775</v>
      </c>
      <c r="H262" t="s" s="0">
        <v>940</v>
      </c>
      <c r="I262" t="s" s="0">
        <v>106</v>
      </c>
      <c r="J262" t="n" s="2">
        <v>12.0</v>
      </c>
      <c r="K262" t="n" s="2">
        <v>7.5</v>
      </c>
      <c r="L262" t="n" s="2">
        <v>4.5</v>
      </c>
      <c r="M262" s="3">
        <f>IFERROR(K262/J262,0)</f>
      </c>
      <c r="N262" t="s">
        <v>925</v>
      </c>
      <c r="O262" t="s">
        <v>53</v>
      </c>
      <c r="P262" t="s">
        <v>941</v>
      </c>
      <c r="Q262" t="s">
        <v>942</v>
      </c>
      <c r="R262" t="s">
        <v>943</v>
      </c>
      <c r="S262" t="s">
        <v>60</v>
      </c>
      <c r="U262" t="s">
        <v>39</v>
      </c>
      <c r="V262" t="s">
        <v>39</v>
      </c>
      <c r="W262" t="s">
        <v>39</v>
      </c>
    </row>
    <row r="263">
      <c r="A263" t="s" s="0">
        <v>944</v>
      </c>
      <c r="B263" t="s" s="0">
        <v>163</v>
      </c>
      <c r="C263" t="s" s="0">
        <v>678</v>
      </c>
      <c r="D263" t="s" s="0">
        <v>945</v>
      </c>
      <c r="E263" t="s" s="0">
        <v>94</v>
      </c>
      <c r="F263" t="s" s="0">
        <v>946</v>
      </c>
      <c r="G263" t="s" s="0">
        <v>29</v>
      </c>
      <c r="H263" t="s" s="0">
        <v>947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137</v>
      </c>
      <c r="O263" t="s">
        <v>42</v>
      </c>
      <c r="P263" t="s">
        <v>33</v>
      </c>
      <c r="Q263" t="s">
        <v>33</v>
      </c>
      <c r="R263" t="s">
        <v>33</v>
      </c>
      <c r="S263" t="s">
        <v>32</v>
      </c>
      <c r="T263" t="n" s="2">
        <v>11.95</v>
      </c>
      <c r="U263" t="s">
        <v>39</v>
      </c>
      <c r="V263" t="s">
        <v>39</v>
      </c>
      <c r="W263" t="s">
        <v>39</v>
      </c>
    </row>
    <row r="264">
      <c r="A264" t="s" s="0">
        <v>944</v>
      </c>
      <c r="B264" t="s" s="0">
        <v>163</v>
      </c>
      <c r="C264" t="s" s="0">
        <v>678</v>
      </c>
      <c r="D264" t="s" s="0">
        <v>945</v>
      </c>
      <c r="E264" t="s" s="0">
        <v>94</v>
      </c>
      <c r="F264" t="s" s="0">
        <v>946</v>
      </c>
      <c r="G264" t="s" s="0">
        <v>99</v>
      </c>
      <c r="H264" t="s" s="0">
        <v>948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137</v>
      </c>
      <c r="O264" t="s">
        <v>42</v>
      </c>
      <c r="P264" t="s">
        <v>33</v>
      </c>
      <c r="Q264" t="s">
        <v>33</v>
      </c>
      <c r="R264" t="s">
        <v>33</v>
      </c>
      <c r="S264" t="s">
        <v>42</v>
      </c>
      <c r="T264" t="n" s="2">
        <v>10.1</v>
      </c>
      <c r="U264" t="s">
        <v>39</v>
      </c>
      <c r="V264" t="s">
        <v>39</v>
      </c>
      <c r="W264" t="s">
        <v>39</v>
      </c>
    </row>
    <row r="265">
      <c r="A265" t="s" s="0">
        <v>944</v>
      </c>
      <c r="B265" t="s" s="0">
        <v>163</v>
      </c>
      <c r="C265" t="s" s="0">
        <v>678</v>
      </c>
      <c r="D265" t="s" s="0">
        <v>945</v>
      </c>
      <c r="E265" t="s" s="0">
        <v>94</v>
      </c>
      <c r="F265" t="s" s="0">
        <v>946</v>
      </c>
      <c r="G265" t="s" s="0">
        <v>104</v>
      </c>
      <c r="H265" t="s" s="0">
        <v>949</v>
      </c>
      <c r="I265" t="s" s="0">
        <v>106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137</v>
      </c>
      <c r="O265" t="s">
        <v>42</v>
      </c>
      <c r="P265" t="s">
        <v>33</v>
      </c>
      <c r="Q265" t="s">
        <v>33</v>
      </c>
      <c r="R265" t="s">
        <v>33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944</v>
      </c>
      <c r="B266" t="s" s="0">
        <v>163</v>
      </c>
      <c r="C266" t="s" s="0">
        <v>678</v>
      </c>
      <c r="D266" t="s" s="0">
        <v>945</v>
      </c>
      <c r="E266" t="s" s="0">
        <v>94</v>
      </c>
      <c r="F266" t="s" s="0">
        <v>946</v>
      </c>
      <c r="G266" t="s" s="0">
        <v>29</v>
      </c>
      <c r="H266" t="s" s="0">
        <v>321</v>
      </c>
      <c r="I266" t="s" s="0">
        <v>31</v>
      </c>
      <c r="J266" t="n" s="2">
        <v>12.0</v>
      </c>
      <c r="K266" t="s">
        <v>33</v>
      </c>
      <c r="L266" t="s">
        <v>33</v>
      </c>
      <c r="M266" s="3">
        <f>IFERROR(K266/J266,0)</f>
      </c>
      <c r="N266" t="s">
        <v>137</v>
      </c>
      <c r="O266" t="s">
        <v>42</v>
      </c>
      <c r="P266" t="s">
        <v>950</v>
      </c>
      <c r="Q266" t="s">
        <v>33</v>
      </c>
      <c r="R266" t="s">
        <v>951</v>
      </c>
      <c r="S266" t="s">
        <v>49</v>
      </c>
      <c r="T266" t="n" s="2">
        <v>11.95</v>
      </c>
      <c r="U266" t="s">
        <v>952</v>
      </c>
      <c r="V266" t="s">
        <v>39</v>
      </c>
      <c r="W266" t="n" s="2">
        <v>-0.05</v>
      </c>
    </row>
    <row r="267">
      <c r="A267" t="s" s="0">
        <v>944</v>
      </c>
      <c r="B267" t="s" s="0">
        <v>163</v>
      </c>
      <c r="C267" t="s" s="0">
        <v>678</v>
      </c>
      <c r="D267" t="s" s="0">
        <v>945</v>
      </c>
      <c r="E267" t="s" s="0">
        <v>94</v>
      </c>
      <c r="F267" t="s" s="0">
        <v>946</v>
      </c>
      <c r="G267" t="s" s="0">
        <v>104</v>
      </c>
      <c r="H267" t="s" s="0">
        <v>953</v>
      </c>
      <c r="I267" t="s" s="0">
        <v>106</v>
      </c>
      <c r="J267" t="n" s="2">
        <v>12.5</v>
      </c>
      <c r="K267" t="s">
        <v>33</v>
      </c>
      <c r="L267" t="s">
        <v>33</v>
      </c>
      <c r="M267" s="3">
        <f>IFERROR(K267/J267,0)</f>
      </c>
      <c r="N267" t="s">
        <v>137</v>
      </c>
      <c r="O267" t="s">
        <v>42</v>
      </c>
      <c r="P267" t="s">
        <v>954</v>
      </c>
      <c r="Q267" t="s">
        <v>33</v>
      </c>
      <c r="R267" t="s">
        <v>955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944</v>
      </c>
      <c r="B268" t="s" s="0">
        <v>163</v>
      </c>
      <c r="C268" t="s" s="0">
        <v>678</v>
      </c>
      <c r="D268" t="s" s="0">
        <v>945</v>
      </c>
      <c r="E268" t="s" s="0">
        <v>94</v>
      </c>
      <c r="F268" t="s" s="0">
        <v>946</v>
      </c>
      <c r="G268" t="s" s="0">
        <v>800</v>
      </c>
      <c r="H268" t="s" s="0">
        <v>956</v>
      </c>
      <c r="I268" t="s" s="0">
        <v>106</v>
      </c>
      <c r="J268" t="n" s="2">
        <v>14.5</v>
      </c>
      <c r="K268" t="s">
        <v>33</v>
      </c>
      <c r="L268" t="s">
        <v>33</v>
      </c>
      <c r="M268" s="3">
        <f>IFERROR(K268/J268,0)</f>
      </c>
      <c r="N268" t="s">
        <v>137</v>
      </c>
      <c r="O268" t="s">
        <v>42</v>
      </c>
      <c r="P268" t="s">
        <v>957</v>
      </c>
      <c r="Q268" t="s">
        <v>33</v>
      </c>
      <c r="R268" t="s">
        <v>958</v>
      </c>
      <c r="S268" t="s">
        <v>53</v>
      </c>
      <c r="U268" t="s">
        <v>39</v>
      </c>
      <c r="V268" t="s">
        <v>39</v>
      </c>
      <c r="W268" t="s">
        <v>39</v>
      </c>
    </row>
    <row r="269">
      <c r="A269" t="s" s="0">
        <v>944</v>
      </c>
      <c r="B269" t="s" s="0">
        <v>163</v>
      </c>
      <c r="C269" t="s" s="0">
        <v>678</v>
      </c>
      <c r="D269" t="s" s="0">
        <v>945</v>
      </c>
      <c r="E269" t="s" s="0">
        <v>94</v>
      </c>
      <c r="F269" t="s" s="0">
        <v>946</v>
      </c>
      <c r="G269" t="s" s="0">
        <v>99</v>
      </c>
      <c r="H269" t="s" s="0">
        <v>959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137</v>
      </c>
      <c r="O269" t="s">
        <v>42</v>
      </c>
      <c r="P269" t="s">
        <v>33</v>
      </c>
      <c r="Q269" t="s">
        <v>33</v>
      </c>
      <c r="R269" t="s">
        <v>33</v>
      </c>
      <c r="S269" t="s">
        <v>55</v>
      </c>
      <c r="T269" t="n" s="2">
        <v>10.1</v>
      </c>
      <c r="U269" t="s">
        <v>39</v>
      </c>
      <c r="V269" t="s">
        <v>39</v>
      </c>
      <c r="W269" t="s">
        <v>39</v>
      </c>
    </row>
    <row r="270">
      <c r="A270" t="s" s="0">
        <v>944</v>
      </c>
      <c r="B270" t="s" s="0">
        <v>163</v>
      </c>
      <c r="C270" t="s" s="0">
        <v>678</v>
      </c>
      <c r="D270" t="s" s="0">
        <v>945</v>
      </c>
      <c r="E270" t="s" s="0">
        <v>94</v>
      </c>
      <c r="F270" t="s" s="0">
        <v>946</v>
      </c>
      <c r="G270" t="s" s="0">
        <v>99</v>
      </c>
      <c r="H270" t="s" s="0">
        <v>960</v>
      </c>
      <c r="I270" t="s" s="0">
        <v>31</v>
      </c>
      <c r="J270" t="n" s="2">
        <v>11.0</v>
      </c>
      <c r="K270" t="s">
        <v>33</v>
      </c>
      <c r="L270" t="s">
        <v>33</v>
      </c>
      <c r="M270" s="3">
        <f>IFERROR(K270/J270,0)</f>
      </c>
      <c r="N270" t="s">
        <v>137</v>
      </c>
      <c r="O270" t="s">
        <v>42</v>
      </c>
      <c r="P270" t="s">
        <v>961</v>
      </c>
      <c r="Q270" t="s">
        <v>33</v>
      </c>
      <c r="R270" t="s">
        <v>962</v>
      </c>
      <c r="S270" t="s">
        <v>60</v>
      </c>
      <c r="T270" t="n" s="2">
        <v>10.1</v>
      </c>
      <c r="U270" t="s">
        <v>963</v>
      </c>
      <c r="V270" t="s">
        <v>39</v>
      </c>
      <c r="W270" t="n" s="2">
        <v>-0.9</v>
      </c>
    </row>
    <row r="271">
      <c r="A271" t="s" s="0">
        <v>944</v>
      </c>
      <c r="B271" t="s" s="0">
        <v>163</v>
      </c>
      <c r="C271" t="s" s="0">
        <v>678</v>
      </c>
      <c r="D271" t="s" s="0">
        <v>945</v>
      </c>
      <c r="E271" t="s" s="0">
        <v>94</v>
      </c>
      <c r="F271" t="s" s="0">
        <v>946</v>
      </c>
      <c r="G271" t="s" s="0">
        <v>99</v>
      </c>
      <c r="H271" t="s" s="0">
        <v>964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137</v>
      </c>
      <c r="O271" t="s">
        <v>42</v>
      </c>
      <c r="P271" t="s">
        <v>33</v>
      </c>
      <c r="Q271" t="s">
        <v>33</v>
      </c>
      <c r="R271" t="s">
        <v>33</v>
      </c>
      <c r="S271" t="s">
        <v>62</v>
      </c>
      <c r="T271" t="n" s="2">
        <v>10.1</v>
      </c>
      <c r="U271" t="s">
        <v>39</v>
      </c>
      <c r="V271" t="s">
        <v>39</v>
      </c>
      <c r="W271" t="s">
        <v>39</v>
      </c>
    </row>
    <row r="272">
      <c r="A272" t="s" s="0">
        <v>944</v>
      </c>
      <c r="B272" t="s" s="0">
        <v>163</v>
      </c>
      <c r="C272" t="s" s="0">
        <v>678</v>
      </c>
      <c r="D272" t="s" s="0">
        <v>945</v>
      </c>
      <c r="E272" t="s" s="0">
        <v>94</v>
      </c>
      <c r="F272" t="s" s="0">
        <v>946</v>
      </c>
      <c r="G272" t="s" s="0">
        <v>99</v>
      </c>
      <c r="H272" t="s" s="0">
        <v>965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137</v>
      </c>
      <c r="O272" t="s">
        <v>42</v>
      </c>
      <c r="P272" t="s">
        <v>33</v>
      </c>
      <c r="Q272" t="s">
        <v>33</v>
      </c>
      <c r="R272" t="s">
        <v>33</v>
      </c>
      <c r="S272" t="s">
        <v>67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944</v>
      </c>
      <c r="B273" t="s" s="0">
        <v>163</v>
      </c>
      <c r="C273" t="s" s="0">
        <v>678</v>
      </c>
      <c r="D273" t="s" s="0">
        <v>945</v>
      </c>
      <c r="E273" t="s" s="0">
        <v>94</v>
      </c>
      <c r="F273" t="s" s="0">
        <v>946</v>
      </c>
      <c r="G273" t="s" s="0">
        <v>29</v>
      </c>
      <c r="H273" t="s" s="0">
        <v>666</v>
      </c>
      <c r="I273" t="s" s="0">
        <v>31</v>
      </c>
      <c r="J273" t="n" s="2">
        <v>12.0</v>
      </c>
      <c r="K273" t="n" s="2">
        <v>6.5</v>
      </c>
      <c r="L273" t="n" s="2">
        <v>5.5</v>
      </c>
      <c r="M273" s="3">
        <f>IFERROR(K273/J273,0)</f>
      </c>
      <c r="N273" t="s">
        <v>137</v>
      </c>
      <c r="O273" t="s">
        <v>42</v>
      </c>
      <c r="P273" t="s">
        <v>966</v>
      </c>
      <c r="Q273" t="s">
        <v>967</v>
      </c>
      <c r="R273" t="s">
        <v>968</v>
      </c>
      <c r="S273" t="s">
        <v>69</v>
      </c>
      <c r="T273" t="n" s="2">
        <v>11.95</v>
      </c>
      <c r="U273" t="s">
        <v>952</v>
      </c>
      <c r="V273" t="s">
        <v>969</v>
      </c>
      <c r="W273" t="n" s="2">
        <v>-0.05</v>
      </c>
    </row>
    <row r="274">
      <c r="A274" t="s" s="0">
        <v>944</v>
      </c>
      <c r="B274" t="s" s="0">
        <v>163</v>
      </c>
      <c r="C274" t="s" s="0">
        <v>678</v>
      </c>
      <c r="D274" t="s" s="0">
        <v>945</v>
      </c>
      <c r="E274" t="s" s="0">
        <v>94</v>
      </c>
      <c r="F274" t="s" s="0">
        <v>946</v>
      </c>
      <c r="G274" t="s" s="0">
        <v>29</v>
      </c>
      <c r="H274" t="s" s="0">
        <v>671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137</v>
      </c>
      <c r="O274" t="s">
        <v>42</v>
      </c>
      <c r="P274" t="s">
        <v>33</v>
      </c>
      <c r="Q274" t="s">
        <v>33</v>
      </c>
      <c r="R274" t="s">
        <v>33</v>
      </c>
      <c r="S274" t="s">
        <v>34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970</v>
      </c>
      <c r="B275" t="s" s="0">
        <v>24</v>
      </c>
      <c r="C275" t="s" s="0">
        <v>754</v>
      </c>
      <c r="D275" t="s" s="0">
        <v>971</v>
      </c>
      <c r="E275" t="s" s="0">
        <v>474</v>
      </c>
      <c r="F275" t="s" s="0">
        <v>972</v>
      </c>
      <c r="G275" t="s" s="0">
        <v>29</v>
      </c>
      <c r="H275" t="s" s="0">
        <v>973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974</v>
      </c>
      <c r="O275" t="s">
        <v>49</v>
      </c>
      <c r="P275" t="s">
        <v>33</v>
      </c>
      <c r="Q275" t="s">
        <v>33</v>
      </c>
      <c r="R275" t="s">
        <v>33</v>
      </c>
      <c r="S275" t="s">
        <v>32</v>
      </c>
      <c r="T275" t="n" s="2">
        <v>8.5</v>
      </c>
      <c r="U275" t="s">
        <v>39</v>
      </c>
      <c r="V275" t="s">
        <v>39</v>
      </c>
      <c r="W275" t="s">
        <v>39</v>
      </c>
    </row>
    <row r="276">
      <c r="A276" t="s" s="0">
        <v>970</v>
      </c>
      <c r="B276" t="s" s="0">
        <v>24</v>
      </c>
      <c r="C276" t="s" s="0">
        <v>754</v>
      </c>
      <c r="D276" t="s" s="0">
        <v>971</v>
      </c>
      <c r="E276" t="s" s="0">
        <v>474</v>
      </c>
      <c r="F276" t="s" s="0">
        <v>972</v>
      </c>
      <c r="G276" t="s" s="0">
        <v>828</v>
      </c>
      <c r="H276" t="s" s="0">
        <v>229</v>
      </c>
      <c r="I276" t="s" s="0">
        <v>106</v>
      </c>
      <c r="J276" t="n" s="2">
        <v>8.5</v>
      </c>
      <c r="K276" t="n" s="2">
        <v>5.6</v>
      </c>
      <c r="L276" t="n" s="2">
        <v>2.9</v>
      </c>
      <c r="M276" s="3">
        <f>IFERROR(K276/J276,0)</f>
      </c>
      <c r="N276" t="s">
        <v>974</v>
      </c>
      <c r="O276" t="s">
        <v>49</v>
      </c>
      <c r="P276" t="s">
        <v>975</v>
      </c>
      <c r="Q276" t="s">
        <v>976</v>
      </c>
      <c r="R276" t="s">
        <v>977</v>
      </c>
      <c r="S276" t="s">
        <v>47</v>
      </c>
      <c r="U276" t="s">
        <v>39</v>
      </c>
      <c r="V276" t="s">
        <v>39</v>
      </c>
      <c r="W276" t="s">
        <v>39</v>
      </c>
    </row>
    <row r="277">
      <c r="A277" t="s" s="0">
        <v>970</v>
      </c>
      <c r="B277" t="s" s="0">
        <v>24</v>
      </c>
      <c r="C277" t="s" s="0">
        <v>754</v>
      </c>
      <c r="D277" t="s" s="0">
        <v>971</v>
      </c>
      <c r="E277" t="s" s="0">
        <v>474</v>
      </c>
      <c r="F277" t="s" s="0">
        <v>972</v>
      </c>
      <c r="G277" t="s" s="0">
        <v>709</v>
      </c>
      <c r="H277" t="s" s="0">
        <v>978</v>
      </c>
      <c r="I277" t="s" s="0">
        <v>124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974</v>
      </c>
      <c r="O277" t="s">
        <v>49</v>
      </c>
      <c r="P277" t="s">
        <v>33</v>
      </c>
      <c r="Q277" t="s">
        <v>33</v>
      </c>
      <c r="R277" t="s">
        <v>33</v>
      </c>
      <c r="S277" t="s">
        <v>129</v>
      </c>
      <c r="U277" t="s">
        <v>39</v>
      </c>
      <c r="V277" t="s">
        <v>39</v>
      </c>
      <c r="W277" t="s">
        <v>39</v>
      </c>
    </row>
    <row r="278">
      <c r="A278" t="s" s="0">
        <v>970</v>
      </c>
      <c r="B278" t="s" s="0">
        <v>24</v>
      </c>
      <c r="C278" t="s" s="0">
        <v>754</v>
      </c>
      <c r="D278" t="s" s="0">
        <v>971</v>
      </c>
      <c r="E278" t="s" s="0">
        <v>474</v>
      </c>
      <c r="F278" t="s" s="0">
        <v>972</v>
      </c>
      <c r="G278" t="s" s="0">
        <v>831</v>
      </c>
      <c r="H278" t="s" s="0">
        <v>979</v>
      </c>
      <c r="I278" t="s" s="0">
        <v>106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974</v>
      </c>
      <c r="O278" t="s">
        <v>49</v>
      </c>
      <c r="P278" t="s">
        <v>980</v>
      </c>
      <c r="Q278" t="s">
        <v>33</v>
      </c>
      <c r="R278" t="s">
        <v>981</v>
      </c>
      <c r="S278" t="s">
        <v>133</v>
      </c>
      <c r="U278" t="s">
        <v>39</v>
      </c>
      <c r="V278" t="s">
        <v>39</v>
      </c>
      <c r="W278" t="s">
        <v>39</v>
      </c>
    </row>
    <row r="279">
      <c r="A279" t="s" s="0">
        <v>970</v>
      </c>
      <c r="B279" t="s" s="0">
        <v>24</v>
      </c>
      <c r="C279" t="s" s="0">
        <v>754</v>
      </c>
      <c r="D279" t="s" s="0">
        <v>971</v>
      </c>
      <c r="E279" t="s" s="0">
        <v>474</v>
      </c>
      <c r="F279" t="s" s="0">
        <v>972</v>
      </c>
      <c r="G279" t="s" s="0">
        <v>709</v>
      </c>
      <c r="H279" t="s" s="0">
        <v>982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974</v>
      </c>
      <c r="O279" t="s">
        <v>49</v>
      </c>
      <c r="P279" t="s">
        <v>33</v>
      </c>
      <c r="Q279" t="s">
        <v>33</v>
      </c>
      <c r="R279" t="s">
        <v>33</v>
      </c>
      <c r="S279" t="s">
        <v>137</v>
      </c>
      <c r="U279" t="s">
        <v>39</v>
      </c>
      <c r="V279" t="s">
        <v>39</v>
      </c>
      <c r="W279" t="s">
        <v>39</v>
      </c>
    </row>
    <row r="280">
      <c r="A280" t="s" s="0">
        <v>970</v>
      </c>
      <c r="B280" t="s" s="0">
        <v>24</v>
      </c>
      <c r="C280" t="s" s="0">
        <v>754</v>
      </c>
      <c r="D280" t="s" s="0">
        <v>971</v>
      </c>
      <c r="E280" t="s" s="0">
        <v>474</v>
      </c>
      <c r="F280" t="s" s="0">
        <v>972</v>
      </c>
      <c r="G280" t="s" s="0">
        <v>99</v>
      </c>
      <c r="H280" t="s" s="0">
        <v>983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974</v>
      </c>
      <c r="O280" t="s">
        <v>49</v>
      </c>
      <c r="P280" t="s">
        <v>33</v>
      </c>
      <c r="Q280" t="s">
        <v>33</v>
      </c>
      <c r="R280" t="s">
        <v>33</v>
      </c>
      <c r="S280" t="s">
        <v>49</v>
      </c>
      <c r="T280" t="n" s="2">
        <v>7.7</v>
      </c>
      <c r="U280" t="s">
        <v>39</v>
      </c>
      <c r="V280" t="s">
        <v>39</v>
      </c>
      <c r="W280" t="s">
        <v>39</v>
      </c>
    </row>
    <row r="281">
      <c r="A281" t="s" s="0">
        <v>970</v>
      </c>
      <c r="B281" t="s" s="0">
        <v>24</v>
      </c>
      <c r="C281" t="s" s="0">
        <v>754</v>
      </c>
      <c r="D281" t="s" s="0">
        <v>971</v>
      </c>
      <c r="E281" t="s" s="0">
        <v>474</v>
      </c>
      <c r="F281" t="s" s="0">
        <v>972</v>
      </c>
      <c r="G281" t="s" s="0">
        <v>99</v>
      </c>
      <c r="H281" t="s" s="0">
        <v>984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974</v>
      </c>
      <c r="O281" t="s">
        <v>49</v>
      </c>
      <c r="P281" t="s">
        <v>33</v>
      </c>
      <c r="Q281" t="s">
        <v>33</v>
      </c>
      <c r="R281" t="s">
        <v>33</v>
      </c>
      <c r="S281" t="s">
        <v>51</v>
      </c>
      <c r="T281" t="n" s="2">
        <v>7.7</v>
      </c>
      <c r="U281" t="s">
        <v>39</v>
      </c>
      <c r="V281" t="s">
        <v>39</v>
      </c>
      <c r="W281" t="s">
        <v>39</v>
      </c>
    </row>
    <row r="282">
      <c r="A282" t="s" s="0">
        <v>970</v>
      </c>
      <c r="B282" t="s" s="0">
        <v>24</v>
      </c>
      <c r="C282" t="s" s="0">
        <v>754</v>
      </c>
      <c r="D282" t="s" s="0">
        <v>971</v>
      </c>
      <c r="E282" t="s" s="0">
        <v>474</v>
      </c>
      <c r="F282" t="s" s="0">
        <v>972</v>
      </c>
      <c r="G282" t="s" s="0">
        <v>709</v>
      </c>
      <c r="H282" t="s" s="0">
        <v>985</v>
      </c>
      <c r="I282" t="s" s="0">
        <v>124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974</v>
      </c>
      <c r="O282" t="s">
        <v>49</v>
      </c>
      <c r="P282" t="s">
        <v>33</v>
      </c>
      <c r="Q282" t="s">
        <v>33</v>
      </c>
      <c r="R282" t="s">
        <v>33</v>
      </c>
      <c r="S282" t="s">
        <v>55</v>
      </c>
      <c r="U282" t="s">
        <v>39</v>
      </c>
      <c r="V282" t="s">
        <v>39</v>
      </c>
      <c r="W282" t="s">
        <v>39</v>
      </c>
    </row>
    <row r="283">
      <c r="A283" t="s" s="0">
        <v>970</v>
      </c>
      <c r="B283" t="s" s="0">
        <v>24</v>
      </c>
      <c r="C283" t="s" s="0">
        <v>754</v>
      </c>
      <c r="D283" t="s" s="0">
        <v>971</v>
      </c>
      <c r="E283" t="s" s="0">
        <v>474</v>
      </c>
      <c r="F283" t="s" s="0">
        <v>972</v>
      </c>
      <c r="G283" t="s" s="0">
        <v>29</v>
      </c>
      <c r="H283" t="s" s="0">
        <v>113</v>
      </c>
      <c r="I283" t="s" s="0">
        <v>31</v>
      </c>
      <c r="J283" t="n" s="2">
        <v>8.0</v>
      </c>
      <c r="K283" t="s">
        <v>33</v>
      </c>
      <c r="L283" t="s">
        <v>33</v>
      </c>
      <c r="M283" s="3">
        <f>IFERROR(K283/J283,0)</f>
      </c>
      <c r="N283" t="s">
        <v>974</v>
      </c>
      <c r="O283" t="s">
        <v>49</v>
      </c>
      <c r="P283" t="s">
        <v>986</v>
      </c>
      <c r="Q283" t="s">
        <v>33</v>
      </c>
      <c r="R283" t="s">
        <v>987</v>
      </c>
      <c r="S283" t="s">
        <v>60</v>
      </c>
      <c r="T283" t="n" s="2">
        <v>8.5</v>
      </c>
      <c r="U283" t="s">
        <v>988</v>
      </c>
      <c r="V283" t="s">
        <v>39</v>
      </c>
      <c r="W283" t="n" s="2">
        <v>0.5</v>
      </c>
    </row>
    <row r="284">
      <c r="A284" t="s" s="0">
        <v>970</v>
      </c>
      <c r="B284" t="s" s="0">
        <v>24</v>
      </c>
      <c r="C284" t="s" s="0">
        <v>754</v>
      </c>
      <c r="D284" t="s" s="0">
        <v>971</v>
      </c>
      <c r="E284" t="s" s="0">
        <v>474</v>
      </c>
      <c r="F284" t="s" s="0">
        <v>972</v>
      </c>
      <c r="G284" t="s" s="0">
        <v>29</v>
      </c>
      <c r="H284" t="s" s="0">
        <v>989</v>
      </c>
      <c r="I284" t="s" s="0">
        <v>31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974</v>
      </c>
      <c r="O284" t="s">
        <v>49</v>
      </c>
      <c r="P284" t="s">
        <v>990</v>
      </c>
      <c r="Q284" t="s">
        <v>33</v>
      </c>
      <c r="R284" t="s">
        <v>991</v>
      </c>
      <c r="S284" t="s">
        <v>62</v>
      </c>
      <c r="T284" t="n" s="2">
        <v>8.5</v>
      </c>
      <c r="U284" t="s">
        <v>988</v>
      </c>
      <c r="V284" t="s">
        <v>39</v>
      </c>
      <c r="W284" t="n" s="2">
        <v>0.5</v>
      </c>
    </row>
    <row r="285">
      <c r="A285" t="s" s="0">
        <v>970</v>
      </c>
      <c r="B285" t="s" s="0">
        <v>24</v>
      </c>
      <c r="C285" t="s" s="0">
        <v>754</v>
      </c>
      <c r="D285" t="s" s="0">
        <v>971</v>
      </c>
      <c r="E285" t="s" s="0">
        <v>474</v>
      </c>
      <c r="F285" t="s" s="0">
        <v>972</v>
      </c>
      <c r="G285" t="s" s="0">
        <v>29</v>
      </c>
      <c r="H285" t="s" s="0">
        <v>992</v>
      </c>
      <c r="I285" t="s" s="0">
        <v>31</v>
      </c>
      <c r="J285" t="n" s="2">
        <v>8.8</v>
      </c>
      <c r="K285" t="s">
        <v>33</v>
      </c>
      <c r="L285" t="s">
        <v>33</v>
      </c>
      <c r="M285" s="3">
        <f>IFERROR(K285/J285,0)</f>
      </c>
      <c r="N285" t="s">
        <v>974</v>
      </c>
      <c r="O285" t="s">
        <v>49</v>
      </c>
      <c r="P285" t="s">
        <v>993</v>
      </c>
      <c r="Q285" t="s">
        <v>33</v>
      </c>
      <c r="R285" t="s">
        <v>994</v>
      </c>
      <c r="S285" t="s">
        <v>67</v>
      </c>
      <c r="T285" t="n" s="2">
        <v>8.5</v>
      </c>
      <c r="U285" t="s">
        <v>995</v>
      </c>
      <c r="V285" t="s">
        <v>39</v>
      </c>
      <c r="W285" t="n" s="2">
        <v>-0.3</v>
      </c>
    </row>
    <row r="286">
      <c r="A286" t="s" s="0">
        <v>970</v>
      </c>
      <c r="B286" t="s" s="0">
        <v>24</v>
      </c>
      <c r="C286" t="s" s="0">
        <v>754</v>
      </c>
      <c r="D286" t="s" s="0">
        <v>971</v>
      </c>
      <c r="E286" t="s" s="0">
        <v>474</v>
      </c>
      <c r="F286" t="s" s="0">
        <v>972</v>
      </c>
      <c r="G286" t="s" s="0">
        <v>29</v>
      </c>
      <c r="H286" t="s" s="0">
        <v>671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974</v>
      </c>
      <c r="O286" t="s">
        <v>49</v>
      </c>
      <c r="P286" t="s">
        <v>33</v>
      </c>
      <c r="Q286" t="s">
        <v>33</v>
      </c>
      <c r="R286" t="s">
        <v>33</v>
      </c>
      <c r="S286" t="s">
        <v>69</v>
      </c>
      <c r="T286" t="n" s="2">
        <v>8.5</v>
      </c>
      <c r="U286" t="s">
        <v>39</v>
      </c>
      <c r="V286" t="s">
        <v>39</v>
      </c>
      <c r="W286" t="s">
        <v>39</v>
      </c>
    </row>
    <row r="287">
      <c r="A287" t="s" s="0">
        <v>970</v>
      </c>
      <c r="B287" t="s" s="0">
        <v>24</v>
      </c>
      <c r="C287" t="s" s="0">
        <v>754</v>
      </c>
      <c r="D287" t="s" s="0">
        <v>971</v>
      </c>
      <c r="E287" t="s" s="0">
        <v>474</v>
      </c>
      <c r="F287" t="s" s="0">
        <v>972</v>
      </c>
      <c r="G287" t="s" s="0">
        <v>29</v>
      </c>
      <c r="H287" t="s" s="0">
        <v>996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974</v>
      </c>
      <c r="O287" t="s">
        <v>49</v>
      </c>
      <c r="P287" t="s">
        <v>33</v>
      </c>
      <c r="Q287" t="s">
        <v>33</v>
      </c>
      <c r="R287" t="s">
        <v>33</v>
      </c>
      <c r="S287" t="s">
        <v>34</v>
      </c>
      <c r="T287" t="n" s="2">
        <v>8.5</v>
      </c>
      <c r="U287" t="s">
        <v>39</v>
      </c>
      <c r="V287" t="s">
        <v>39</v>
      </c>
      <c r="W287" t="s">
        <v>39</v>
      </c>
    </row>
    <row r="288">
      <c r="A288" t="s" s="0">
        <v>997</v>
      </c>
      <c r="B288" t="s" s="0">
        <v>24</v>
      </c>
      <c r="C288" t="s" s="0">
        <v>688</v>
      </c>
      <c r="D288" t="s" s="0">
        <v>998</v>
      </c>
      <c r="E288" t="s" s="0">
        <v>275</v>
      </c>
      <c r="F288" t="s" s="0">
        <v>999</v>
      </c>
      <c r="G288" t="s" s="0">
        <v>1000</v>
      </c>
      <c r="H288" t="s" s="0">
        <v>1001</v>
      </c>
      <c r="I288" t="s" s="0">
        <v>684</v>
      </c>
      <c r="J288" t="n" s="2">
        <v>4.5</v>
      </c>
      <c r="K288" t="n" s="2">
        <v>2.8</v>
      </c>
      <c r="L288" t="n" s="2">
        <v>1.7</v>
      </c>
      <c r="M288" s="3">
        <f>IFERROR(K288/J288,0)</f>
      </c>
      <c r="N288" t="s">
        <v>55</v>
      </c>
      <c r="O288" t="s">
        <v>55</v>
      </c>
      <c r="P288" t="s">
        <v>1002</v>
      </c>
      <c r="Q288" t="s">
        <v>919</v>
      </c>
      <c r="R288" t="s">
        <v>1003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1004</v>
      </c>
      <c r="B289" t="s" s="0">
        <v>24</v>
      </c>
      <c r="C289" t="s" s="0">
        <v>383</v>
      </c>
      <c r="D289" t="s" s="0">
        <v>1005</v>
      </c>
      <c r="E289" t="s" s="0">
        <v>690</v>
      </c>
      <c r="F289" t="s" s="0">
        <v>1006</v>
      </c>
      <c r="G289" t="s" s="0">
        <v>1000</v>
      </c>
      <c r="H289" t="s" s="0">
        <v>1007</v>
      </c>
      <c r="I289" t="s" s="0">
        <v>684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53</v>
      </c>
      <c r="O289" t="s">
        <v>35</v>
      </c>
      <c r="P289" t="s">
        <v>1008</v>
      </c>
      <c r="Q289" t="s">
        <v>33</v>
      </c>
      <c r="R289" t="s">
        <v>1009</v>
      </c>
      <c r="S289" t="s">
        <v>42</v>
      </c>
      <c r="U289" t="s">
        <v>39</v>
      </c>
      <c r="V289" t="s">
        <v>39</v>
      </c>
      <c r="W289" t="s">
        <v>39</v>
      </c>
    </row>
    <row r="290">
      <c r="A290" t="s" s="0">
        <v>1010</v>
      </c>
      <c r="B290" t="s" s="0">
        <v>24</v>
      </c>
      <c r="C290" t="s" s="0">
        <v>688</v>
      </c>
      <c r="D290" t="s" s="0">
        <v>1011</v>
      </c>
      <c r="E290" t="s" s="0">
        <v>861</v>
      </c>
      <c r="F290" t="s" s="0">
        <v>1012</v>
      </c>
      <c r="G290" t="s" s="0">
        <v>863</v>
      </c>
      <c r="H290" t="s" s="0">
        <v>1013</v>
      </c>
      <c r="I290" t="s" s="0">
        <v>684</v>
      </c>
      <c r="J290" t="n" s="2">
        <v>2.45</v>
      </c>
      <c r="K290" t="s">
        <v>33</v>
      </c>
      <c r="L290" t="s">
        <v>33</v>
      </c>
      <c r="M290" s="3">
        <f>IFERROR(K290/J290,0)</f>
      </c>
      <c r="N290" t="s">
        <v>60</v>
      </c>
      <c r="O290" t="s">
        <v>35</v>
      </c>
      <c r="P290" t="s">
        <v>1014</v>
      </c>
      <c r="Q290" t="s">
        <v>33</v>
      </c>
      <c r="R290" t="s">
        <v>1015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1016</v>
      </c>
      <c r="B291" t="s" s="0">
        <v>163</v>
      </c>
      <c r="C291" t="s" s="0">
        <v>287</v>
      </c>
      <c r="D291" t="s" s="0">
        <v>1017</v>
      </c>
      <c r="E291" t="s" s="0">
        <v>861</v>
      </c>
      <c r="F291" t="s" s="0">
        <v>1018</v>
      </c>
      <c r="G291" t="s" s="0">
        <v>322</v>
      </c>
      <c r="H291" t="s" s="0">
        <v>1019</v>
      </c>
      <c r="I291" t="s" s="0">
        <v>124</v>
      </c>
      <c r="J291" t="n" s="2">
        <v>2.8</v>
      </c>
      <c r="K291" t="s">
        <v>33</v>
      </c>
      <c r="L291" t="s">
        <v>33</v>
      </c>
      <c r="M291" s="3">
        <f>IFERROR(K291/J291,0)</f>
      </c>
      <c r="N291" t="s">
        <v>47</v>
      </c>
      <c r="O291" t="s">
        <v>35</v>
      </c>
      <c r="P291" t="s">
        <v>1020</v>
      </c>
      <c r="Q291" t="s">
        <v>33</v>
      </c>
      <c r="R291" t="s">
        <v>1021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1016</v>
      </c>
      <c r="B292" t="s" s="0">
        <v>163</v>
      </c>
      <c r="C292" t="s" s="0">
        <v>287</v>
      </c>
      <c r="D292" t="s" s="0">
        <v>1017</v>
      </c>
      <c r="E292" t="s" s="0">
        <v>861</v>
      </c>
      <c r="F292" t="s" s="0">
        <v>1018</v>
      </c>
      <c r="G292" t="s" s="0">
        <v>1013</v>
      </c>
      <c r="H292" t="s" s="0">
        <v>388</v>
      </c>
      <c r="I292" t="s" s="0">
        <v>279</v>
      </c>
      <c r="J292" t="n" s="2">
        <v>3.2</v>
      </c>
      <c r="K292" t="s">
        <v>33</v>
      </c>
      <c r="L292" t="s">
        <v>33</v>
      </c>
      <c r="M292" s="3">
        <f>IFERROR(K292/J292,0)</f>
      </c>
      <c r="N292" t="s">
        <v>47</v>
      </c>
      <c r="O292" t="s">
        <v>35</v>
      </c>
      <c r="P292" t="s">
        <v>1022</v>
      </c>
      <c r="Q292" t="s">
        <v>33</v>
      </c>
      <c r="R292" t="s">
        <v>1023</v>
      </c>
      <c r="S292" t="s">
        <v>49</v>
      </c>
      <c r="U292" t="s">
        <v>39</v>
      </c>
      <c r="V292" t="s">
        <v>39</v>
      </c>
      <c r="W29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2026-01-15T20:56:19Z</dcterms:created>
  <dc:creator>Apache POI</dc:creator>
</cp:coreProperties>
</file>