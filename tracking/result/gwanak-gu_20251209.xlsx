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<sst xmlns="http://schemas.openxmlformats.org/spreadsheetml/2006/main" count="1055" uniqueCount="254">
  <si>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</si>
  <si>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</si>
  <si>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</si>
  <si>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</si>
  <si>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</si>
  <si>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</si>
  <si>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</si>
  <si>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</si>
  <si>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</si>
  <si>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</si>
  <si>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</si>
  <si>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</si>
  <si>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</si>
  <si>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</si>
  <si>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</si>
  <si>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</si>
  <si>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</si>
  <si>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</si>
  <si>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</si>
  <si>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</si>
  <si>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</si>
  <si>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</si>
  <si>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</si>
  <si>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100344</t>
  </si>
  <si>
    <t>관악</t>
  </si>
  <si>
    <t>신림</t>
  </si>
  <si>
    <t>관악산휴먼시아1단지</t>
  </si>
  <si>
    <t>2008</t>
  </si>
  <si>
    <t>545</t>
  </si>
  <si>
    <t>59</t>
  </si>
  <si>
    <t>78A</t>
  </si>
  <si>
    <t>계|3|2</t>
  </si>
  <si>
    <t>2</t>
  </si>
  <si>
    <t>27</t>
  </si>
  <si>
    <t>4</t>
  </si>
  <si>
    <t>105동(중/20)</t>
  </si>
  <si>
    <t>24 거실 방확장형 동 층 뷰 로얄 매물</t>
  </si>
  <si>
    <t>-16.0%</t>
  </si>
  <si>
    <t>57.1%</t>
  </si>
  <si>
    <t>79B</t>
  </si>
  <si>
    <t>계|3|1</t>
  </si>
  <si>
    <t>3</t>
  </si>
  <si>
    <t>105동(고/20)</t>
  </si>
  <si>
    <t>106동(고/20)</t>
  </si>
  <si>
    <t>화이트최근 올수리 올확장 정남향 로얄동 고층 입주정상 지하주차장연결</t>
  </si>
  <si>
    <t>42.9%</t>
  </si>
  <si>
    <t>82</t>
  </si>
  <si>
    <t>101</t>
  </si>
  <si>
    <t>계|4|2</t>
  </si>
  <si>
    <t>5</t>
  </si>
  <si>
    <t/>
  </si>
  <si>
    <t>-</t>
  </si>
  <si>
    <t>84</t>
  </si>
  <si>
    <t>116</t>
  </si>
  <si>
    <t>6</t>
  </si>
  <si>
    <t>101동(고/16)</t>
  </si>
  <si>
    <t xml:space="preserve">로얄동, 올확장, 상가 및 버스정류장 이용 편리함 </t>
  </si>
  <si>
    <t>107</t>
  </si>
  <si>
    <t>138</t>
  </si>
  <si>
    <t>7</t>
  </si>
  <si>
    <t>114</t>
  </si>
  <si>
    <t>146</t>
  </si>
  <si>
    <t>9</t>
  </si>
  <si>
    <t>103동(고/17)</t>
  </si>
  <si>
    <t>방3개확장 로얄동 로얄층 집주인거주 깨끗한집 교통편리</t>
  </si>
  <si>
    <t>현대</t>
  </si>
  <si>
    <t>1991</t>
  </si>
  <si>
    <t>336</t>
  </si>
  <si>
    <t>71</t>
  </si>
  <si>
    <t>85</t>
  </si>
  <si>
    <t>1</t>
  </si>
  <si>
    <t>32</t>
  </si>
  <si>
    <t>106동(10/11)</t>
  </si>
  <si>
    <t>주인 거주로 깨끗하게 수리된 웰빙 아파트 샘말공원 인접</t>
  </si>
  <si>
    <t>-3.9%</t>
  </si>
  <si>
    <t>100A</t>
  </si>
  <si>
    <t>103동(4/15)</t>
  </si>
  <si>
    <t>103동(14/15)</t>
  </si>
  <si>
    <t>숲세권 청정아파트</t>
  </si>
  <si>
    <t>-17.8%</t>
  </si>
  <si>
    <t>67.6%</t>
  </si>
  <si>
    <t>98B</t>
  </si>
  <si>
    <t>102동(4/15)</t>
  </si>
  <si>
    <t>-19.4%</t>
  </si>
  <si>
    <t>105동(4/11)</t>
  </si>
  <si>
    <t>급매 주인거주로 깨끗 친환경 숲속의 집</t>
  </si>
  <si>
    <t>62</t>
  </si>
  <si>
    <t>건영4차</t>
  </si>
  <si>
    <t>1997</t>
  </si>
  <si>
    <t>236</t>
  </si>
  <si>
    <t>105A</t>
  </si>
  <si>
    <t>8</t>
  </si>
  <si>
    <t>103동(14/19)</t>
  </si>
  <si>
    <t>105B</t>
  </si>
  <si>
    <t>103동(중/19)</t>
  </si>
  <si>
    <t>63</t>
  </si>
  <si>
    <t>신림동부</t>
  </si>
  <si>
    <t>1993</t>
  </si>
  <si>
    <t>592</t>
  </si>
  <si>
    <t>50</t>
  </si>
  <si>
    <t>복|2|1</t>
  </si>
  <si>
    <t>15</t>
  </si>
  <si>
    <t>101동(중/17)</t>
  </si>
  <si>
    <t>신림동부 22 수리하여 깔끔합니다.</t>
  </si>
  <si>
    <t>-1.9%</t>
  </si>
  <si>
    <t>60</t>
  </si>
  <si>
    <t>86</t>
  </si>
  <si>
    <t>복|3|1</t>
  </si>
  <si>
    <t>105동(고/19)</t>
  </si>
  <si>
    <t>102동(중/19)</t>
  </si>
  <si>
    <t>신림동부 26 고층 매매 있습니다.</t>
  </si>
  <si>
    <t>-9.8%</t>
  </si>
  <si>
    <t>28.0%</t>
  </si>
  <si>
    <t>78</t>
  </si>
  <si>
    <t>97</t>
  </si>
  <si>
    <t>102동(고/19)</t>
  </si>
  <si>
    <t>입지 조건 최고의  2호선 신림역 초역세권  신림 동부아파트 매매</t>
  </si>
  <si>
    <t>104</t>
  </si>
  <si>
    <t>103동(중/15)</t>
  </si>
  <si>
    <t>신림동부 32 귀한 매매 월세 안고있습니다.</t>
  </si>
  <si>
    <t>8.2%</t>
  </si>
  <si>
    <t>137</t>
  </si>
  <si>
    <t>105동(5/19)</t>
  </si>
  <si>
    <t>주변의 편의시설최고 초,중,고 ,서울대학교 근접, 보라매공원,도림천 최고</t>
  </si>
  <si>
    <t>8085</t>
  </si>
  <si>
    <t>봉천</t>
  </si>
  <si>
    <t>봉천벽산타운2차</t>
  </si>
  <si>
    <t>2003</t>
  </si>
  <si>
    <t>203</t>
  </si>
  <si>
    <t>57</t>
  </si>
  <si>
    <t>80</t>
  </si>
  <si>
    <t>복|2|2</t>
  </si>
  <si>
    <t>79</t>
  </si>
  <si>
    <t>100</t>
  </si>
  <si>
    <t>111</t>
  </si>
  <si>
    <t>501동(중/19)</t>
  </si>
  <si>
    <t>샷시포함  특 올수리,전망굿,교통편리,입주협의</t>
  </si>
  <si>
    <t>9.8%</t>
  </si>
  <si>
    <t>130</t>
  </si>
  <si>
    <t>8877</t>
  </si>
  <si>
    <t>신림푸르지오1차</t>
  </si>
  <si>
    <t>2005</t>
  </si>
  <si>
    <t>1456</t>
  </si>
  <si>
    <t>126</t>
  </si>
  <si>
    <t>104A</t>
  </si>
  <si>
    <t>136</t>
  </si>
  <si>
    <t>160A</t>
  </si>
  <si>
    <t>161B</t>
  </si>
  <si>
    <t>8895</t>
  </si>
  <si>
    <t>관악산휴먼시아2단지</t>
  </si>
  <si>
    <t>2265</t>
  </si>
  <si>
    <t>80A</t>
  </si>
  <si>
    <t>98</t>
  </si>
  <si>
    <t>222동(고/20)</t>
  </si>
  <si>
    <t>산조망굿 로얄동 고층 깔끔한기본형 입주협의 금액조절 지하주차장연결</t>
  </si>
  <si>
    <t>81B</t>
  </si>
  <si>
    <t>216동(고/20)</t>
  </si>
  <si>
    <t xml:space="preserve"> 전망굿, 산조망, 방3 화1, 발코니 있는 기본형</t>
  </si>
  <si>
    <t>65.0%</t>
  </si>
  <si>
    <t>103A</t>
  </si>
  <si>
    <t>225동(중/20)</t>
  </si>
  <si>
    <t>탁 트윈조망, 동향,기본형, 전망굿.</t>
  </si>
  <si>
    <t>-19.5%</t>
  </si>
  <si>
    <t>113A</t>
  </si>
  <si>
    <t>230동(중/20)</t>
  </si>
  <si>
    <t>232동(중/20)</t>
  </si>
  <si>
    <t>34 급매 발코니있는 기본형 정남향 조망권 확보된 로얄동</t>
  </si>
  <si>
    <t>-20.7%</t>
  </si>
  <si>
    <t>81.8%</t>
  </si>
  <si>
    <t>112B</t>
  </si>
  <si>
    <t>225동(고/20)</t>
  </si>
  <si>
    <t>135</t>
  </si>
  <si>
    <t>131</t>
  </si>
  <si>
    <t>147</t>
  </si>
  <si>
    <t>224동(중/20)</t>
  </si>
  <si>
    <t>44급매,  주인거주,  발코니있는 기본형, 입주 협의</t>
  </si>
  <si>
    <t>9272</t>
  </si>
  <si>
    <t>인헌</t>
  </si>
  <si>
    <t>1998</t>
  </si>
  <si>
    <t>216</t>
  </si>
  <si>
    <t>102동(6/6)</t>
  </si>
  <si>
    <t>101동(6/7)</t>
  </si>
  <si>
    <t>급매매, 전망 좋음, 즉시입주, 입주협의.</t>
  </si>
  <si>
    <t>-7.8%</t>
  </si>
  <si>
    <t>26.3%</t>
  </si>
  <si>
    <t>9449</t>
  </si>
  <si>
    <t>임광관악파크</t>
  </si>
  <si>
    <t>465</t>
  </si>
  <si>
    <t>76</t>
  </si>
  <si>
    <t>26</t>
  </si>
  <si>
    <t>102동(중/25)</t>
  </si>
  <si>
    <t>거실확장 이사일 협의 가능</t>
  </si>
  <si>
    <t>-21.9%</t>
  </si>
  <si>
    <t>99</t>
  </si>
  <si>
    <t>104동(10/18)</t>
  </si>
  <si>
    <t>급매 숲조망뷰좋음 초품아 우림시장상권버스정류장인접 입주협의</t>
  </si>
  <si>
    <t>-19.3%</t>
  </si>
  <si>
    <t>119</t>
  </si>
  <si>
    <t>132</t>
  </si>
  <si>
    <t>101동(5/20)</t>
  </si>
  <si>
    <t>101동(고/20)</t>
  </si>
  <si>
    <t>9497</t>
  </si>
  <si>
    <t>관악동부센트레빌</t>
  </si>
  <si>
    <t>2004</t>
  </si>
  <si>
    <t>487</t>
  </si>
  <si>
    <t>79A</t>
  </si>
  <si>
    <t>10</t>
  </si>
  <si>
    <t>106동(고/12)</t>
  </si>
  <si>
    <t>24 거실 방 확장 화장실 바닥 도배등 부분수리 깨끗 주차장 엘베연결</t>
  </si>
  <si>
    <t>2.2%</t>
  </si>
  <si>
    <t>80B</t>
  </si>
  <si>
    <t>107동(고/13)</t>
  </si>
  <si>
    <t>공동환영 남향 환상조망 거실.작은방확장 중도금이후에 이사준비 가능합니다</t>
  </si>
  <si>
    <t>106</t>
  </si>
  <si>
    <t>주인직접 공동환영 기본 관악산뷰 급조정가</t>
  </si>
  <si>
    <t>9.2%</t>
  </si>
  <si>
    <t>-16.9%</t>
  </si>
  <si>
    <t>113</t>
  </si>
  <si>
    <t>104동(17/18)</t>
  </si>
  <si>
    <t>41타입,  동남향, 방4, 화2, 비확장, 실입주 매물,</t>
  </si>
  <si>
    <t>52</t>
  </si>
  <si>
    <t>건영1차</t>
  </si>
  <si>
    <t>1984</t>
  </si>
  <si>
    <t>492</t>
  </si>
  <si>
    <t>41</t>
  </si>
  <si>
    <t>56</t>
  </si>
  <si>
    <t>나동(중/12)</t>
  </si>
  <si>
    <t>재건축 추진중인 아파트 매매. 바로 입주도 가능</t>
  </si>
  <si>
    <t>83</t>
  </si>
  <si>
    <t>가동(고/12)</t>
  </si>
  <si>
    <t>올수리 리모델링 하였습니다</t>
  </si>
  <si>
    <t>-26.7%</t>
  </si>
  <si>
    <t>74</t>
  </si>
  <si>
    <t>나동(7/12)</t>
  </si>
  <si>
    <t>재건축진행중 남향집 입주협의</t>
  </si>
  <si>
    <t>-4.8%</t>
  </si>
  <si>
    <t>97B</t>
  </si>
  <si>
    <t>-17.2%</t>
  </si>
  <si>
    <t>100C</t>
  </si>
  <si>
    <t>나동(9/12)</t>
  </si>
  <si>
    <t>입주협의가능. 강력추천하는 집</t>
  </si>
  <si>
    <t>-15.9%</t>
  </si>
  <si>
    <t>100111</t>
  </si>
  <si>
    <t>동대문</t>
  </si>
  <si>
    <t>장안</t>
  </si>
  <si>
    <t>456</t>
  </si>
  <si>
    <t>95</t>
  </si>
  <si>
    <t>0</t>
  </si>
  <si>
    <t>17동(중/12)</t>
  </si>
  <si>
    <t>재건축 관리처분 전 단계, 감정평가 완료</t>
  </si>
  <si>
    <t>-14.8%</t>
  </si>
  <si>
    <t>103B</t>
  </si>
  <si>
    <t>103C</t>
  </si>
  <si>
    <t>103D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</si>
</sst>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54"/>
  <sheetViews>
    <sheetView workbookViewId="0" tabSelected="true"/>
  </sheetViews>
  <sheetFormatPr defaultRowHeight="15.0"/>
  <cols>
    <col min="1" max="1" width="6.9296875" customWidth="true" bestFit="true"/>
    <col min="2" max="2" width="3.9296875" customWidth="true" bestFit="true"/>
    <col min="3" max="3" width="2.9296875" customWidth="true" bestFit="true"/>
    <col min="4" max="4" width="10.9296875" customWidth="true" bestFit="true"/>
    <col min="5" max="5" width="4.9296875" customWidth="true" bestFit="true"/>
    <col min="6" max="6" width="4.9296875" customWidth="true" bestFit="true"/>
    <col min="7" max="7" width="3.9296875" customWidth="true" bestFit="true"/>
    <col min="8" max="8" width="5.14453125" customWidth="true" bestFit="true"/>
    <col min="9" max="9" width="5.74609375" customWidth="true" bestFit="true"/>
    <col min="10" max="10" width="4.4296875" customWidth="true" bestFit="true"/>
    <col min="11" max="11" width="3.94921875" customWidth="true" bestFit="true"/>
    <col min="12" max="12" width="3.4296875" customWidth="true" bestFit="true"/>
    <col min="13" max="13" width="7.61328125" customWidth="true" bestFit="true"/>
    <col min="14" max="14" width="3.9296875" customWidth="true" bestFit="true"/>
    <col min="15" max="15" width="1.94921875" customWidth="true" bestFit="true"/>
    <col min="16" max="16" width="10.890625" customWidth="true" bestFit="true"/>
    <col min="17" max="17" width="10.890625" customWidth="true" bestFit="true"/>
    <col min="18" max="18" width="36.10546875" customWidth="true" bestFit="true"/>
    <col min="19" max="19" width="3.8203125" customWidth="true" bestFit="true"/>
    <col min="20" max="20" width="4.4296875" customWidth="true" bestFit="true"/>
    <col min="21" max="21" width="6.44140625" customWidth="true" bestFit="true"/>
    <col min="22" max="22" width="6.44140625" customWidth="true" bestFit="true"/>
    <col min="23" max="23" width="5.03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6.3</v>
      </c>
      <c r="K2" t="n" s="2">
        <v>4.2</v>
      </c>
      <c r="L2" t="n" s="2">
        <v>2.1</v>
      </c>
      <c r="M2" s="3">
        <f>IFERROR(K2/J2,0)</f>
      </c>
      <c r="N2" t="s">
        <v>33</v>
      </c>
      <c r="O2" t="s">
        <v>34</v>
      </c>
      <c r="P2" t="s">
        <v>35</v>
      </c>
      <c r="Q2" t="s">
        <v>35</v>
      </c>
      <c r="R2" t="s">
        <v>36</v>
      </c>
      <c r="S2" t="s">
        <v>32</v>
      </c>
      <c r="T2" t="n" s="2">
        <v>7.5</v>
      </c>
      <c r="U2" t="s">
        <v>37</v>
      </c>
      <c r="V2" t="s">
        <v>38</v>
      </c>
      <c r="W2" t="n" s="2">
        <v>1.2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29</v>
      </c>
      <c r="H3" t="s" s="0">
        <v>39</v>
      </c>
      <c r="I3" t="s" s="0">
        <v>40</v>
      </c>
      <c r="J3" t="n" s="2">
        <v>6.3</v>
      </c>
      <c r="K3" t="n" s="2">
        <v>3.5</v>
      </c>
      <c r="L3" t="n" s="2">
        <v>2.8</v>
      </c>
      <c r="M3" s="3">
        <f>IFERROR(K3/J3,0)</f>
      </c>
      <c r="N3" t="s">
        <v>33</v>
      </c>
      <c r="O3" t="s">
        <v>34</v>
      </c>
      <c r="P3" t="s">
        <v>42</v>
      </c>
      <c r="Q3" t="s">
        <v>43</v>
      </c>
      <c r="R3" t="s">
        <v>44</v>
      </c>
      <c r="S3" t="s">
        <v>41</v>
      </c>
      <c r="T3" t="n" s="2">
        <v>7.5</v>
      </c>
      <c r="U3" t="s">
        <v>37</v>
      </c>
      <c r="V3" t="s">
        <v>45</v>
      </c>
      <c r="W3" t="n" s="2">
        <v>1.2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46</v>
      </c>
      <c r="H4" t="s" s="0">
        <v>47</v>
      </c>
      <c r="I4" t="s" s="0">
        <v>48</v>
      </c>
      <c r="J4" t="s" s="0">
        <v>50</v>
      </c>
      <c r="K4" t="s">
        <v>50</v>
      </c>
      <c r="L4" t="s">
        <v>50</v>
      </c>
      <c r="M4" s="3">
        <f>IFERROR(K4/J4,0)</f>
      </c>
      <c r="N4" t="s">
        <v>33</v>
      </c>
      <c r="O4" t="s">
        <v>34</v>
      </c>
      <c r="P4" t="s">
        <v>50</v>
      </c>
      <c r="Q4" t="s">
        <v>50</v>
      </c>
      <c r="R4" t="s">
        <v>50</v>
      </c>
      <c r="S4" t="s">
        <v>49</v>
      </c>
      <c r="U4" t="s">
        <v>51</v>
      </c>
      <c r="V4" t="s">
        <v>51</v>
      </c>
      <c r="W4" t="s">
        <v>51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52</v>
      </c>
      <c r="H5" t="s" s="0">
        <v>53</v>
      </c>
      <c r="I5" t="s" s="0">
        <v>31</v>
      </c>
      <c r="J5" t="n" s="2">
        <v>6.9</v>
      </c>
      <c r="K5" t="s">
        <v>50</v>
      </c>
      <c r="L5" t="s">
        <v>50</v>
      </c>
      <c r="M5" s="3">
        <f>IFERROR(K5/J5,0)</f>
      </c>
      <c r="N5" t="s">
        <v>33</v>
      </c>
      <c r="O5" t="s">
        <v>34</v>
      </c>
      <c r="P5" t="s">
        <v>55</v>
      </c>
      <c r="Q5" t="s">
        <v>50</v>
      </c>
      <c r="R5" t="s">
        <v>56</v>
      </c>
      <c r="S5" t="s">
        <v>54</v>
      </c>
      <c r="U5" t="s">
        <v>51</v>
      </c>
      <c r="V5" t="s">
        <v>51</v>
      </c>
      <c r="W5" t="s">
        <v>51</v>
      </c>
    </row>
    <row r="6">
      <c r="A6" t="s" s="0">
        <v>23</v>
      </c>
      <c r="B6" t="s" s="0">
        <v>24</v>
      </c>
      <c r="C6" t="s" s="0">
        <v>25</v>
      </c>
      <c r="D6" t="s" s="0">
        <v>26</v>
      </c>
      <c r="E6" t="s" s="0">
        <v>27</v>
      </c>
      <c r="F6" t="s" s="0">
        <v>28</v>
      </c>
      <c r="G6" t="s" s="0">
        <v>57</v>
      </c>
      <c r="H6" t="s" s="0">
        <v>58</v>
      </c>
      <c r="I6" t="s" s="0">
        <v>48</v>
      </c>
      <c r="J6" t="s" s="0">
        <v>50</v>
      </c>
      <c r="K6" t="s">
        <v>50</v>
      </c>
      <c r="L6" t="s">
        <v>50</v>
      </c>
      <c r="M6" s="3">
        <f>IFERROR(K6/J6,0)</f>
      </c>
      <c r="N6" t="s">
        <v>33</v>
      </c>
      <c r="O6" t="s">
        <v>34</v>
      </c>
      <c r="P6" t="s">
        <v>50</v>
      </c>
      <c r="Q6" t="s">
        <v>50</v>
      </c>
      <c r="R6" t="s">
        <v>50</v>
      </c>
      <c r="S6" t="s">
        <v>59</v>
      </c>
      <c r="U6" t="s">
        <v>51</v>
      </c>
      <c r="V6" t="s">
        <v>51</v>
      </c>
      <c r="W6" t="s">
        <v>51</v>
      </c>
    </row>
    <row r="7">
      <c r="A7" t="s" s="0">
        <v>23</v>
      </c>
      <c r="B7" t="s" s="0">
        <v>24</v>
      </c>
      <c r="C7" t="s" s="0">
        <v>25</v>
      </c>
      <c r="D7" t="s" s="0">
        <v>26</v>
      </c>
      <c r="E7" t="s" s="0">
        <v>27</v>
      </c>
      <c r="F7" t="s" s="0">
        <v>28</v>
      </c>
      <c r="G7" t="s" s="0">
        <v>60</v>
      </c>
      <c r="H7" t="s" s="0">
        <v>61</v>
      </c>
      <c r="I7" t="s" s="0">
        <v>48</v>
      </c>
      <c r="J7" t="n" s="2">
        <v>8.7</v>
      </c>
      <c r="K7" t="s">
        <v>50</v>
      </c>
      <c r="L7" t="s">
        <v>50</v>
      </c>
      <c r="M7" s="3">
        <f>IFERROR(K7/J7,0)</f>
      </c>
      <c r="N7" t="s">
        <v>33</v>
      </c>
      <c r="O7" t="s">
        <v>34</v>
      </c>
      <c r="P7" t="s">
        <v>63</v>
      </c>
      <c r="Q7" t="s">
        <v>50</v>
      </c>
      <c r="R7" t="s">
        <v>64</v>
      </c>
      <c r="S7" t="s">
        <v>62</v>
      </c>
      <c r="U7" t="s">
        <v>51</v>
      </c>
      <c r="V7" t="s">
        <v>51</v>
      </c>
      <c r="W7" t="s">
        <v>51</v>
      </c>
    </row>
    <row r="8">
      <c r="A8" t="s" s="0">
        <v>29</v>
      </c>
      <c r="B8" t="s" s="0">
        <v>24</v>
      </c>
      <c r="C8" t="s" s="0">
        <v>25</v>
      </c>
      <c r="D8" t="s" s="0">
        <v>65</v>
      </c>
      <c r="E8" t="s" s="0">
        <v>66</v>
      </c>
      <c r="F8" t="s" s="0">
        <v>67</v>
      </c>
      <c r="G8" t="s" s="0">
        <v>68</v>
      </c>
      <c r="H8" t="s" s="0">
        <v>69</v>
      </c>
      <c r="I8" t="s" s="0">
        <v>40</v>
      </c>
      <c r="J8" t="n" s="2">
        <v>4.9</v>
      </c>
      <c r="K8" t="s">
        <v>50</v>
      </c>
      <c r="L8" t="s">
        <v>50</v>
      </c>
      <c r="M8" s="3">
        <f>IFERROR(K8/J8,0)</f>
      </c>
      <c r="N8" t="s">
        <v>71</v>
      </c>
      <c r="O8" t="s">
        <v>41</v>
      </c>
      <c r="P8" t="s">
        <v>72</v>
      </c>
      <c r="Q8" t="s">
        <v>50</v>
      </c>
      <c r="R8" t="s">
        <v>73</v>
      </c>
      <c r="S8" t="s">
        <v>70</v>
      </c>
      <c r="T8" t="n" s="2">
        <v>5.1</v>
      </c>
      <c r="U8" t="s">
        <v>74</v>
      </c>
      <c r="V8" t="s">
        <v>51</v>
      </c>
      <c r="W8" t="n" s="2">
        <v>0.2</v>
      </c>
    </row>
    <row r="9">
      <c r="A9" t="s" s="0">
        <v>29</v>
      </c>
      <c r="B9" t="s" s="0">
        <v>24</v>
      </c>
      <c r="C9" t="s" s="0">
        <v>25</v>
      </c>
      <c r="D9" t="s" s="0">
        <v>65</v>
      </c>
      <c r="E9" t="s" s="0">
        <v>66</v>
      </c>
      <c r="F9" t="s" s="0">
        <v>67</v>
      </c>
      <c r="G9" t="s" s="0">
        <v>52</v>
      </c>
      <c r="H9" t="s" s="0">
        <v>75</v>
      </c>
      <c r="I9" t="s" s="0">
        <v>31</v>
      </c>
      <c r="J9" t="n" s="2">
        <v>5.3</v>
      </c>
      <c r="K9" t="n" s="2">
        <v>3.6</v>
      </c>
      <c r="L9" t="n" s="2">
        <v>1.7</v>
      </c>
      <c r="M9" s="3">
        <f>IFERROR(K9/J9,0)</f>
      </c>
      <c r="N9" t="s">
        <v>71</v>
      </c>
      <c r="O9" t="s">
        <v>41</v>
      </c>
      <c r="P9" t="s">
        <v>76</v>
      </c>
      <c r="Q9" t="s">
        <v>77</v>
      </c>
      <c r="R9" t="s">
        <v>78</v>
      </c>
      <c r="S9" t="s">
        <v>32</v>
      </c>
      <c r="T9" t="n" s="2">
        <v>6.45</v>
      </c>
      <c r="U9" t="s">
        <v>79</v>
      </c>
      <c r="V9" t="s">
        <v>80</v>
      </c>
      <c r="W9" t="n" s="2">
        <v>1.15</v>
      </c>
    </row>
    <row r="10">
      <c r="A10" t="s" s="0">
        <v>29</v>
      </c>
      <c r="B10" t="s" s="0">
        <v>24</v>
      </c>
      <c r="C10" t="s" s="0">
        <v>25</v>
      </c>
      <c r="D10" t="s" s="0">
        <v>65</v>
      </c>
      <c r="E10" t="s" s="0">
        <v>66</v>
      </c>
      <c r="F10" t="s" s="0">
        <v>67</v>
      </c>
      <c r="G10" t="s" s="0">
        <v>52</v>
      </c>
      <c r="H10" t="s" s="0">
        <v>81</v>
      </c>
      <c r="I10" t="s" s="0">
        <v>31</v>
      </c>
      <c r="J10" t="n" s="2">
        <v>5.2</v>
      </c>
      <c r="K10" t="s">
        <v>50</v>
      </c>
      <c r="L10" t="s">
        <v>50</v>
      </c>
      <c r="M10" s="3">
        <f>IFERROR(K10/J10,0)</f>
      </c>
      <c r="N10" t="s">
        <v>71</v>
      </c>
      <c r="O10" t="s">
        <v>41</v>
      </c>
      <c r="P10" t="s">
        <v>82</v>
      </c>
      <c r="Q10" t="s">
        <v>50</v>
      </c>
      <c r="R10" t="s">
        <v>50</v>
      </c>
      <c r="S10" t="s">
        <v>34</v>
      </c>
      <c r="T10" t="n" s="2">
        <v>6.45</v>
      </c>
      <c r="U10" t="s">
        <v>83</v>
      </c>
      <c r="V10" t="s">
        <v>51</v>
      </c>
      <c r="W10" t="n" s="2">
        <v>1.25</v>
      </c>
    </row>
    <row r="11">
      <c r="A11" t="s" s="0">
        <v>29</v>
      </c>
      <c r="B11" t="s" s="0">
        <v>24</v>
      </c>
      <c r="C11" t="s" s="0">
        <v>25</v>
      </c>
      <c r="D11" t="s" s="0">
        <v>65</v>
      </c>
      <c r="E11" t="s" s="0">
        <v>66</v>
      </c>
      <c r="F11" t="s" s="0">
        <v>67</v>
      </c>
      <c r="G11" t="s" s="0">
        <v>52</v>
      </c>
      <c r="H11" t="s" s="0">
        <v>47</v>
      </c>
      <c r="I11" t="s" s="0">
        <v>31</v>
      </c>
      <c r="J11" t="n" s="2">
        <v>5.2</v>
      </c>
      <c r="K11" t="s">
        <v>50</v>
      </c>
      <c r="L11" t="s">
        <v>50</v>
      </c>
      <c r="M11" s="3">
        <f>IFERROR(K11/J11,0)</f>
      </c>
      <c r="N11" t="s">
        <v>71</v>
      </c>
      <c r="O11" t="s">
        <v>41</v>
      </c>
      <c r="P11" t="s">
        <v>84</v>
      </c>
      <c r="Q11" t="s">
        <v>50</v>
      </c>
      <c r="R11" t="s">
        <v>85</v>
      </c>
      <c r="S11" t="s">
        <v>49</v>
      </c>
      <c r="T11" t="n" s="2">
        <v>6.45</v>
      </c>
      <c r="U11" t="s">
        <v>83</v>
      </c>
      <c r="V11" t="s">
        <v>51</v>
      </c>
      <c r="W11" t="n" s="2">
        <v>1.25</v>
      </c>
    </row>
    <row r="12">
      <c r="A12" t="s" s="0">
        <v>86</v>
      </c>
      <c r="B12" t="s" s="0">
        <v>24</v>
      </c>
      <c r="C12" t="s" s="0">
        <v>25</v>
      </c>
      <c r="D12" t="s" s="0">
        <v>87</v>
      </c>
      <c r="E12" t="s" s="0">
        <v>88</v>
      </c>
      <c r="F12" t="s" s="0">
        <v>89</v>
      </c>
      <c r="G12" t="s" s="0">
        <v>52</v>
      </c>
      <c r="H12" t="s" s="0">
        <v>90</v>
      </c>
      <c r="I12" t="s" s="0">
        <v>31</v>
      </c>
      <c r="J12" t="n" s="2">
        <v>7.4</v>
      </c>
      <c r="K12" t="s">
        <v>50</v>
      </c>
      <c r="L12" t="s">
        <v>50</v>
      </c>
      <c r="M12" s="3">
        <f>IFERROR(K12/J12,0)</f>
      </c>
      <c r="N12" t="s">
        <v>91</v>
      </c>
      <c r="O12" t="s">
        <v>70</v>
      </c>
      <c r="P12" t="s">
        <v>92</v>
      </c>
      <c r="Q12" t="s">
        <v>50</v>
      </c>
      <c r="R12" t="s">
        <v>50</v>
      </c>
      <c r="S12" t="s">
        <v>70</v>
      </c>
      <c r="U12" t="s">
        <v>51</v>
      </c>
      <c r="V12" t="s">
        <v>51</v>
      </c>
      <c r="W12" t="s">
        <v>51</v>
      </c>
    </row>
    <row r="13">
      <c r="A13" t="s" s="0">
        <v>86</v>
      </c>
      <c r="B13" t="s" s="0">
        <v>24</v>
      </c>
      <c r="C13" t="s" s="0">
        <v>25</v>
      </c>
      <c r="D13" t="s" s="0">
        <v>87</v>
      </c>
      <c r="E13" t="s" s="0">
        <v>88</v>
      </c>
      <c r="F13" t="s" s="0">
        <v>89</v>
      </c>
      <c r="G13" t="s" s="0">
        <v>52</v>
      </c>
      <c r="H13" t="s" s="0">
        <v>93</v>
      </c>
      <c r="I13" t="s" s="0">
        <v>31</v>
      </c>
      <c r="J13" t="n" s="2">
        <v>7.35</v>
      </c>
      <c r="K13" t="s">
        <v>50</v>
      </c>
      <c r="L13" t="s">
        <v>50</v>
      </c>
      <c r="M13" s="3">
        <f>IFERROR(K13/J13,0)</f>
      </c>
      <c r="N13" t="s">
        <v>91</v>
      </c>
      <c r="O13" t="s">
        <v>70</v>
      </c>
      <c r="P13" t="s">
        <v>94</v>
      </c>
      <c r="Q13" t="s">
        <v>50</v>
      </c>
      <c r="R13" t="s">
        <v>50</v>
      </c>
      <c r="S13" t="s">
        <v>32</v>
      </c>
      <c r="U13" t="s">
        <v>51</v>
      </c>
      <c r="V13" t="s">
        <v>51</v>
      </c>
      <c r="W13" t="s">
        <v>51</v>
      </c>
    </row>
    <row r="14">
      <c r="A14" t="s" s="0">
        <v>95</v>
      </c>
      <c r="B14" t="s" s="0">
        <v>24</v>
      </c>
      <c r="C14" t="s" s="0">
        <v>25</v>
      </c>
      <c r="D14" t="s" s="0">
        <v>96</v>
      </c>
      <c r="E14" t="s" s="0">
        <v>97</v>
      </c>
      <c r="F14" t="s" s="0">
        <v>98</v>
      </c>
      <c r="G14" t="s" s="0">
        <v>99</v>
      </c>
      <c r="H14" t="s" s="0">
        <v>68</v>
      </c>
      <c r="I14" t="s" s="0">
        <v>100</v>
      </c>
      <c r="J14" t="n" s="2">
        <v>6.6</v>
      </c>
      <c r="K14" t="s">
        <v>50</v>
      </c>
      <c r="L14" t="s">
        <v>50</v>
      </c>
      <c r="M14" s="3">
        <f>IFERROR(K14/J14,0)</f>
      </c>
      <c r="N14" t="s">
        <v>101</v>
      </c>
      <c r="O14" t="s">
        <v>32</v>
      </c>
      <c r="P14" t="s">
        <v>102</v>
      </c>
      <c r="Q14" t="s">
        <v>50</v>
      </c>
      <c r="R14" t="s">
        <v>103</v>
      </c>
      <c r="S14" t="s">
        <v>32</v>
      </c>
      <c r="T14" t="n" s="2">
        <v>6.73</v>
      </c>
      <c r="U14" t="s">
        <v>104</v>
      </c>
      <c r="V14" t="s">
        <v>51</v>
      </c>
      <c r="W14" t="n" s="2">
        <v>0.13</v>
      </c>
    </row>
    <row r="15">
      <c r="A15" t="s" s="0">
        <v>95</v>
      </c>
      <c r="B15" t="s" s="0">
        <v>24</v>
      </c>
      <c r="C15" t="s" s="0">
        <v>25</v>
      </c>
      <c r="D15" t="s" s="0">
        <v>96</v>
      </c>
      <c r="E15" t="s" s="0">
        <v>97</v>
      </c>
      <c r="F15" t="s" s="0">
        <v>98</v>
      </c>
      <c r="G15" t="s" s="0">
        <v>105</v>
      </c>
      <c r="H15" t="s" s="0">
        <v>106</v>
      </c>
      <c r="I15" t="s" s="0">
        <v>107</v>
      </c>
      <c r="J15" t="n" s="2">
        <v>7.7</v>
      </c>
      <c r="K15" t="n" s="2">
        <v>4.7</v>
      </c>
      <c r="L15" t="n" s="2">
        <v>3.0</v>
      </c>
      <c r="M15" s="3">
        <f>IFERROR(K15/J15,0)</f>
      </c>
      <c r="N15" t="s">
        <v>101</v>
      </c>
      <c r="O15" t="s">
        <v>32</v>
      </c>
      <c r="P15" t="s">
        <v>108</v>
      </c>
      <c r="Q15" t="s">
        <v>109</v>
      </c>
      <c r="R15" t="s">
        <v>110</v>
      </c>
      <c r="S15" t="s">
        <v>41</v>
      </c>
      <c r="T15" t="n" s="2">
        <v>8.54</v>
      </c>
      <c r="U15" t="s">
        <v>111</v>
      </c>
      <c r="V15" t="s">
        <v>112</v>
      </c>
      <c r="W15" t="n" s="2">
        <v>0.84</v>
      </c>
    </row>
    <row r="16">
      <c r="A16" t="s" s="0">
        <v>95</v>
      </c>
      <c r="B16" t="s" s="0">
        <v>24</v>
      </c>
      <c r="C16" t="s" s="0">
        <v>25</v>
      </c>
      <c r="D16" t="s" s="0">
        <v>96</v>
      </c>
      <c r="E16" t="s" s="0">
        <v>97</v>
      </c>
      <c r="F16" t="s" s="0">
        <v>98</v>
      </c>
      <c r="G16" t="s" s="0">
        <v>113</v>
      </c>
      <c r="H16" t="s" s="0">
        <v>114</v>
      </c>
      <c r="I16" t="s" s="0">
        <v>40</v>
      </c>
      <c r="J16" t="n" s="2">
        <v>9.4</v>
      </c>
      <c r="K16" t="s">
        <v>50</v>
      </c>
      <c r="L16" t="s">
        <v>50</v>
      </c>
      <c r="M16" s="3">
        <f>IFERROR(K16/J16,0)</f>
      </c>
      <c r="N16" t="s">
        <v>101</v>
      </c>
      <c r="O16" t="s">
        <v>32</v>
      </c>
      <c r="P16" t="s">
        <v>115</v>
      </c>
      <c r="Q16" t="s">
        <v>50</v>
      </c>
      <c r="R16" t="s">
        <v>116</v>
      </c>
      <c r="S16" t="s">
        <v>34</v>
      </c>
      <c r="U16" t="s">
        <v>51</v>
      </c>
      <c r="V16" t="s">
        <v>51</v>
      </c>
      <c r="W16" t="s">
        <v>51</v>
      </c>
    </row>
    <row r="17">
      <c r="A17" t="s" s="0">
        <v>95</v>
      </c>
      <c r="B17" t="s" s="0">
        <v>24</v>
      </c>
      <c r="C17" t="s" s="0">
        <v>25</v>
      </c>
      <c r="D17" t="s" s="0">
        <v>96</v>
      </c>
      <c r="E17" t="s" s="0">
        <v>97</v>
      </c>
      <c r="F17" t="s" s="0">
        <v>98</v>
      </c>
      <c r="G17" t="s" s="0">
        <v>52</v>
      </c>
      <c r="H17" t="s" s="0">
        <v>117</v>
      </c>
      <c r="I17" t="s" s="0">
        <v>31</v>
      </c>
      <c r="J17" t="n" s="2">
        <v>10.5</v>
      </c>
      <c r="K17" t="s">
        <v>50</v>
      </c>
      <c r="L17" t="s">
        <v>50</v>
      </c>
      <c r="M17" s="3">
        <f>IFERROR(K17/J17,0)</f>
      </c>
      <c r="N17" t="s">
        <v>101</v>
      </c>
      <c r="O17" t="s">
        <v>32</v>
      </c>
      <c r="P17" t="s">
        <v>118</v>
      </c>
      <c r="Q17" t="s">
        <v>50</v>
      </c>
      <c r="R17" t="s">
        <v>119</v>
      </c>
      <c r="S17" t="s">
        <v>49</v>
      </c>
      <c r="T17" t="n" s="2">
        <v>9.7</v>
      </c>
      <c r="U17" t="s">
        <v>120</v>
      </c>
      <c r="V17" t="s">
        <v>51</v>
      </c>
      <c r="W17" t="n" s="2">
        <v>-0.8</v>
      </c>
    </row>
    <row r="18">
      <c r="A18" t="s" s="0">
        <v>95</v>
      </c>
      <c r="B18" t="s" s="0">
        <v>24</v>
      </c>
      <c r="C18" t="s" s="0">
        <v>25</v>
      </c>
      <c r="D18" t="s" s="0">
        <v>96</v>
      </c>
      <c r="E18" t="s" s="0">
        <v>97</v>
      </c>
      <c r="F18" t="s" s="0">
        <v>98</v>
      </c>
      <c r="G18" t="s" s="0">
        <v>60</v>
      </c>
      <c r="H18" t="s" s="0">
        <v>121</v>
      </c>
      <c r="I18" t="s" s="0">
        <v>48</v>
      </c>
      <c r="J18" t="n" s="2">
        <v>12.0</v>
      </c>
      <c r="K18" t="s">
        <v>50</v>
      </c>
      <c r="L18" t="s">
        <v>50</v>
      </c>
      <c r="M18" s="3">
        <f>IFERROR(K18/J18,0)</f>
      </c>
      <c r="N18" t="s">
        <v>101</v>
      </c>
      <c r="O18" t="s">
        <v>32</v>
      </c>
      <c r="P18" t="s">
        <v>122</v>
      </c>
      <c r="Q18" t="s">
        <v>50</v>
      </c>
      <c r="R18" t="s">
        <v>123</v>
      </c>
      <c r="S18" t="s">
        <v>54</v>
      </c>
      <c r="U18" t="s">
        <v>51</v>
      </c>
      <c r="V18" t="s">
        <v>51</v>
      </c>
      <c r="W18" t="s">
        <v>51</v>
      </c>
    </row>
    <row r="19">
      <c r="A19" t="s" s="0">
        <v>124</v>
      </c>
      <c r="B19" t="s" s="0">
        <v>24</v>
      </c>
      <c r="C19" t="s" s="0">
        <v>125</v>
      </c>
      <c r="D19" t="s" s="0">
        <v>126</v>
      </c>
      <c r="E19" t="s" s="0">
        <v>127</v>
      </c>
      <c r="F19" t="s" s="0">
        <v>128</v>
      </c>
      <c r="G19" t="s" s="0">
        <v>129</v>
      </c>
      <c r="H19" t="s" s="0">
        <v>130</v>
      </c>
      <c r="I19" t="s" s="0">
        <v>131</v>
      </c>
      <c r="J19" t="s" s="0">
        <v>50</v>
      </c>
      <c r="K19" t="s">
        <v>50</v>
      </c>
      <c r="L19" t="s">
        <v>50</v>
      </c>
      <c r="M19" s="3">
        <f>IFERROR(K19/J19,0)</f>
      </c>
      <c r="N19" t="s">
        <v>49</v>
      </c>
      <c r="O19" t="s">
        <v>70</v>
      </c>
      <c r="P19" t="s">
        <v>50</v>
      </c>
      <c r="Q19" t="s">
        <v>50</v>
      </c>
      <c r="R19" t="s">
        <v>50</v>
      </c>
      <c r="S19" t="s">
        <v>70</v>
      </c>
      <c r="T19" t="n" s="2">
        <v>6.9</v>
      </c>
      <c r="U19" t="s">
        <v>51</v>
      </c>
      <c r="V19" t="s">
        <v>51</v>
      </c>
      <c r="W19" t="s">
        <v>51</v>
      </c>
    </row>
    <row r="20">
      <c r="A20" t="s" s="0">
        <v>124</v>
      </c>
      <c r="B20" t="s" s="0">
        <v>24</v>
      </c>
      <c r="C20" t="s" s="0">
        <v>125</v>
      </c>
      <c r="D20" t="s" s="0">
        <v>126</v>
      </c>
      <c r="E20" t="s" s="0">
        <v>127</v>
      </c>
      <c r="F20" t="s" s="0">
        <v>128</v>
      </c>
      <c r="G20" t="s" s="0">
        <v>132</v>
      </c>
      <c r="H20" t="s" s="0">
        <v>133</v>
      </c>
      <c r="I20" t="s" s="0">
        <v>31</v>
      </c>
      <c r="J20" t="s" s="0">
        <v>50</v>
      </c>
      <c r="K20" t="s">
        <v>50</v>
      </c>
      <c r="L20" t="s">
        <v>50</v>
      </c>
      <c r="M20" s="3">
        <f>IFERROR(K20/J20,0)</f>
      </c>
      <c r="N20" t="s">
        <v>49</v>
      </c>
      <c r="O20" t="s">
        <v>70</v>
      </c>
      <c r="P20" t="s">
        <v>50</v>
      </c>
      <c r="Q20" t="s">
        <v>50</v>
      </c>
      <c r="R20" t="s">
        <v>50</v>
      </c>
      <c r="S20" t="s">
        <v>32</v>
      </c>
      <c r="T20" t="n" s="2">
        <v>8.65</v>
      </c>
      <c r="U20" t="s">
        <v>51</v>
      </c>
      <c r="V20" t="s">
        <v>51</v>
      </c>
      <c r="W20" t="s">
        <v>51</v>
      </c>
    </row>
    <row r="21">
      <c r="A21" t="s" s="0">
        <v>124</v>
      </c>
      <c r="B21" t="s" s="0">
        <v>24</v>
      </c>
      <c r="C21" t="s" s="0">
        <v>125</v>
      </c>
      <c r="D21" t="s" s="0">
        <v>126</v>
      </c>
      <c r="E21" t="s" s="0">
        <v>127</v>
      </c>
      <c r="F21" t="s" s="0">
        <v>128</v>
      </c>
      <c r="G21" t="s" s="0">
        <v>132</v>
      </c>
      <c r="H21" t="s" s="0">
        <v>134</v>
      </c>
      <c r="I21" t="s" s="0">
        <v>31</v>
      </c>
      <c r="J21" t="n" s="2">
        <v>9.5</v>
      </c>
      <c r="K21" t="s">
        <v>50</v>
      </c>
      <c r="L21" t="s">
        <v>50</v>
      </c>
      <c r="M21" s="3">
        <f>IFERROR(K21/J21,0)</f>
      </c>
      <c r="N21" t="s">
        <v>49</v>
      </c>
      <c r="O21" t="s">
        <v>70</v>
      </c>
      <c r="P21" t="s">
        <v>135</v>
      </c>
      <c r="Q21" t="s">
        <v>50</v>
      </c>
      <c r="R21" t="s">
        <v>136</v>
      </c>
      <c r="S21" t="s">
        <v>41</v>
      </c>
      <c r="T21" t="n" s="2">
        <v>8.65</v>
      </c>
      <c r="U21" t="s">
        <v>137</v>
      </c>
      <c r="V21" t="s">
        <v>51</v>
      </c>
      <c r="W21" t="n" s="2">
        <v>-0.85</v>
      </c>
    </row>
    <row r="22">
      <c r="A22" t="s" s="0">
        <v>124</v>
      </c>
      <c r="B22" t="s" s="0">
        <v>24</v>
      </c>
      <c r="C22" t="s" s="0">
        <v>125</v>
      </c>
      <c r="D22" t="s" s="0">
        <v>126</v>
      </c>
      <c r="E22" t="s" s="0">
        <v>127</v>
      </c>
      <c r="F22" t="s" s="0">
        <v>128</v>
      </c>
      <c r="G22" t="s" s="0">
        <v>57</v>
      </c>
      <c r="H22" t="s" s="0">
        <v>138</v>
      </c>
      <c r="I22" t="s" s="0">
        <v>48</v>
      </c>
      <c r="J22" t="s" s="0">
        <v>50</v>
      </c>
      <c r="K22" t="s">
        <v>50</v>
      </c>
      <c r="L22" t="s">
        <v>50</v>
      </c>
      <c r="M22" s="3">
        <f>IFERROR(K22/J22,0)</f>
      </c>
      <c r="N22" t="s">
        <v>49</v>
      </c>
      <c r="O22" t="s">
        <v>70</v>
      </c>
      <c r="P22" t="s">
        <v>50</v>
      </c>
      <c r="Q22" t="s">
        <v>50</v>
      </c>
      <c r="R22" t="s">
        <v>50</v>
      </c>
      <c r="S22" t="s">
        <v>34</v>
      </c>
      <c r="U22" t="s">
        <v>51</v>
      </c>
      <c r="V22" t="s">
        <v>51</v>
      </c>
      <c r="W22" t="s">
        <v>51</v>
      </c>
    </row>
    <row r="23">
      <c r="A23" t="s" s="0">
        <v>139</v>
      </c>
      <c r="B23" t="s" s="0">
        <v>24</v>
      </c>
      <c r="C23" t="s" s="0">
        <v>25</v>
      </c>
      <c r="D23" t="s" s="0">
        <v>140</v>
      </c>
      <c r="E23" t="s" s="0">
        <v>141</v>
      </c>
      <c r="F23" t="s" s="0">
        <v>142</v>
      </c>
      <c r="G23" t="s" s="0">
        <v>29</v>
      </c>
      <c r="H23" t="s" s="0">
        <v>132</v>
      </c>
      <c r="I23" t="s" s="0">
        <v>40</v>
      </c>
      <c r="J23" t="s" s="0">
        <v>50</v>
      </c>
      <c r="K23" t="s">
        <v>50</v>
      </c>
      <c r="L23" t="s">
        <v>50</v>
      </c>
      <c r="M23" s="3">
        <f>IFERROR(K23/J23,0)</f>
      </c>
      <c r="N23" t="s">
        <v>143</v>
      </c>
      <c r="O23" t="s">
        <v>91</v>
      </c>
      <c r="P23" t="s">
        <v>50</v>
      </c>
      <c r="Q23" t="s">
        <v>50</v>
      </c>
      <c r="R23" t="s">
        <v>50</v>
      </c>
      <c r="S23" t="s">
        <v>70</v>
      </c>
      <c r="T23" t="n" s="2">
        <v>8.96</v>
      </c>
      <c r="U23" t="s">
        <v>51</v>
      </c>
      <c r="V23" t="s">
        <v>51</v>
      </c>
      <c r="W23" t="s">
        <v>51</v>
      </c>
    </row>
    <row r="24">
      <c r="A24" t="s" s="0">
        <v>139</v>
      </c>
      <c r="B24" t="s" s="0">
        <v>24</v>
      </c>
      <c r="C24" t="s" s="0">
        <v>25</v>
      </c>
      <c r="D24" t="s" s="0">
        <v>140</v>
      </c>
      <c r="E24" t="s" s="0">
        <v>141</v>
      </c>
      <c r="F24" t="s" s="0">
        <v>142</v>
      </c>
      <c r="G24" t="s" s="0">
        <v>52</v>
      </c>
      <c r="H24" t="s" s="0">
        <v>144</v>
      </c>
      <c r="I24" t="s" s="0">
        <v>31</v>
      </c>
      <c r="J24" t="s" s="0">
        <v>50</v>
      </c>
      <c r="K24" t="s">
        <v>50</v>
      </c>
      <c r="L24" t="s">
        <v>50</v>
      </c>
      <c r="M24" s="3">
        <f>IFERROR(K24/J24,0)</f>
      </c>
      <c r="N24" t="s">
        <v>143</v>
      </c>
      <c r="O24" t="s">
        <v>91</v>
      </c>
      <c r="P24" t="s">
        <v>50</v>
      </c>
      <c r="Q24" t="s">
        <v>50</v>
      </c>
      <c r="R24" t="s">
        <v>50</v>
      </c>
      <c r="S24" t="s">
        <v>32</v>
      </c>
      <c r="T24" t="n" s="2">
        <v>11.6</v>
      </c>
      <c r="U24" t="s">
        <v>51</v>
      </c>
      <c r="V24" t="s">
        <v>51</v>
      </c>
      <c r="W24" t="s">
        <v>51</v>
      </c>
    </row>
    <row r="25">
      <c r="A25" t="s" s="0">
        <v>139</v>
      </c>
      <c r="B25" t="s" s="0">
        <v>24</v>
      </c>
      <c r="C25" t="s" s="0">
        <v>25</v>
      </c>
      <c r="D25" t="s" s="0">
        <v>140</v>
      </c>
      <c r="E25" t="s" s="0">
        <v>141</v>
      </c>
      <c r="F25" t="s" s="0">
        <v>142</v>
      </c>
      <c r="G25" t="s" s="0">
        <v>52</v>
      </c>
      <c r="H25" t="s" s="0">
        <v>93</v>
      </c>
      <c r="I25" t="s" s="0">
        <v>31</v>
      </c>
      <c r="J25" t="s" s="0">
        <v>50</v>
      </c>
      <c r="K25" t="s">
        <v>50</v>
      </c>
      <c r="L25" t="s">
        <v>50</v>
      </c>
      <c r="M25" s="3">
        <f>IFERROR(K25/J25,0)</f>
      </c>
      <c r="N25" t="s">
        <v>143</v>
      </c>
      <c r="O25" t="s">
        <v>91</v>
      </c>
      <c r="P25" t="s">
        <v>50</v>
      </c>
      <c r="Q25" t="s">
        <v>50</v>
      </c>
      <c r="R25" t="s">
        <v>50</v>
      </c>
      <c r="S25" t="s">
        <v>41</v>
      </c>
      <c r="T25" t="n" s="2">
        <v>11.6</v>
      </c>
      <c r="U25" t="s">
        <v>51</v>
      </c>
      <c r="V25" t="s">
        <v>51</v>
      </c>
      <c r="W25" t="s">
        <v>51</v>
      </c>
    </row>
    <row r="26">
      <c r="A26" t="s" s="0">
        <v>139</v>
      </c>
      <c r="B26" t="s" s="0">
        <v>24</v>
      </c>
      <c r="C26" t="s" s="0">
        <v>25</v>
      </c>
      <c r="D26" t="s" s="0">
        <v>140</v>
      </c>
      <c r="E26" t="s" s="0">
        <v>141</v>
      </c>
      <c r="F26" t="s" s="0">
        <v>142</v>
      </c>
      <c r="G26" t="s" s="0">
        <v>60</v>
      </c>
      <c r="H26" t="s" s="0">
        <v>145</v>
      </c>
      <c r="I26" t="s" s="0">
        <v>48</v>
      </c>
      <c r="J26" t="s" s="0">
        <v>50</v>
      </c>
      <c r="K26" t="s">
        <v>50</v>
      </c>
      <c r="L26" t="s">
        <v>50</v>
      </c>
      <c r="M26" s="3">
        <f>IFERROR(K26/J26,0)</f>
      </c>
      <c r="N26" t="s">
        <v>143</v>
      </c>
      <c r="O26" t="s">
        <v>91</v>
      </c>
      <c r="P26" t="s">
        <v>50</v>
      </c>
      <c r="Q26" t="s">
        <v>50</v>
      </c>
      <c r="R26" t="s">
        <v>50</v>
      </c>
      <c r="S26" t="s">
        <v>34</v>
      </c>
      <c r="U26" t="s">
        <v>51</v>
      </c>
      <c r="V26" t="s">
        <v>51</v>
      </c>
      <c r="W26" t="s">
        <v>51</v>
      </c>
    </row>
    <row r="27">
      <c r="A27" t="s" s="0">
        <v>139</v>
      </c>
      <c r="B27" t="s" s="0">
        <v>24</v>
      </c>
      <c r="C27" t="s" s="0">
        <v>25</v>
      </c>
      <c r="D27" t="s" s="0">
        <v>140</v>
      </c>
      <c r="E27" t="s" s="0">
        <v>141</v>
      </c>
      <c r="F27" t="s" s="0">
        <v>142</v>
      </c>
      <c r="G27" t="s" s="0">
        <v>58</v>
      </c>
      <c r="H27" t="s" s="0">
        <v>146</v>
      </c>
      <c r="I27" t="s" s="0">
        <v>48</v>
      </c>
      <c r="J27" t="s" s="0">
        <v>50</v>
      </c>
      <c r="K27" t="s">
        <v>50</v>
      </c>
      <c r="L27" t="s">
        <v>50</v>
      </c>
      <c r="M27" s="3">
        <f>IFERROR(K27/J27,0)</f>
      </c>
      <c r="N27" t="s">
        <v>143</v>
      </c>
      <c r="O27" t="s">
        <v>91</v>
      </c>
      <c r="P27" t="s">
        <v>50</v>
      </c>
      <c r="Q27" t="s">
        <v>50</v>
      </c>
      <c r="R27" t="s">
        <v>50</v>
      </c>
      <c r="S27" t="s">
        <v>49</v>
      </c>
      <c r="U27" t="s">
        <v>51</v>
      </c>
      <c r="V27" t="s">
        <v>51</v>
      </c>
      <c r="W27" t="s">
        <v>51</v>
      </c>
    </row>
    <row r="28">
      <c r="A28" t="s" s="0">
        <v>139</v>
      </c>
      <c r="B28" t="s" s="0">
        <v>24</v>
      </c>
      <c r="C28" t="s" s="0">
        <v>25</v>
      </c>
      <c r="D28" t="s" s="0">
        <v>140</v>
      </c>
      <c r="E28" t="s" s="0">
        <v>141</v>
      </c>
      <c r="F28" t="s" s="0">
        <v>142</v>
      </c>
      <c r="G28" t="s" s="0">
        <v>58</v>
      </c>
      <c r="H28" t="s" s="0">
        <v>147</v>
      </c>
      <c r="I28" t="s" s="0">
        <v>48</v>
      </c>
      <c r="J28" t="s" s="0">
        <v>50</v>
      </c>
      <c r="K28" t="s">
        <v>50</v>
      </c>
      <c r="L28" t="s">
        <v>50</v>
      </c>
      <c r="M28" s="3">
        <f>IFERROR(K28/J28,0)</f>
      </c>
      <c r="N28" t="s">
        <v>143</v>
      </c>
      <c r="O28" t="s">
        <v>91</v>
      </c>
      <c r="P28" t="s">
        <v>50</v>
      </c>
      <c r="Q28" t="s">
        <v>50</v>
      </c>
      <c r="R28" t="s">
        <v>50</v>
      </c>
      <c r="S28" t="s">
        <v>54</v>
      </c>
      <c r="U28" t="s">
        <v>51</v>
      </c>
      <c r="V28" t="s">
        <v>51</v>
      </c>
      <c r="W28" t="s">
        <v>51</v>
      </c>
    </row>
    <row r="29">
      <c r="A29" t="s" s="0">
        <v>148</v>
      </c>
      <c r="B29" t="s" s="0">
        <v>24</v>
      </c>
      <c r="C29" t="s" s="0">
        <v>25</v>
      </c>
      <c r="D29" t="s" s="0">
        <v>149</v>
      </c>
      <c r="E29" t="s" s="0">
        <v>27</v>
      </c>
      <c r="F29" t="s" s="0">
        <v>150</v>
      </c>
      <c r="G29" t="s" s="0">
        <v>29</v>
      </c>
      <c r="H29" t="s" s="0">
        <v>151</v>
      </c>
      <c r="I29" t="s" s="0">
        <v>31</v>
      </c>
      <c r="J29" t="n" s="2">
        <v>6.0</v>
      </c>
      <c r="K29" t="s">
        <v>50</v>
      </c>
      <c r="L29" t="s">
        <v>50</v>
      </c>
      <c r="M29" s="3">
        <f>IFERROR(K29/J29,0)</f>
      </c>
      <c r="N29" t="s">
        <v>152</v>
      </c>
      <c r="O29" t="s">
        <v>91</v>
      </c>
      <c r="P29" t="s">
        <v>153</v>
      </c>
      <c r="Q29" t="s">
        <v>50</v>
      </c>
      <c r="R29" t="s">
        <v>154</v>
      </c>
      <c r="S29" t="s">
        <v>70</v>
      </c>
      <c r="T29" t="n" s="2">
        <v>7.3</v>
      </c>
      <c r="U29" t="s">
        <v>79</v>
      </c>
      <c r="V29" t="s">
        <v>51</v>
      </c>
      <c r="W29" t="n" s="2">
        <v>1.3</v>
      </c>
    </row>
    <row r="30">
      <c r="A30" t="s" s="0">
        <v>148</v>
      </c>
      <c r="B30" t="s" s="0">
        <v>24</v>
      </c>
      <c r="C30" t="s" s="0">
        <v>25</v>
      </c>
      <c r="D30" t="s" s="0">
        <v>149</v>
      </c>
      <c r="E30" t="s" s="0">
        <v>27</v>
      </c>
      <c r="F30" t="s" s="0">
        <v>150</v>
      </c>
      <c r="G30" t="s" s="0">
        <v>29</v>
      </c>
      <c r="H30" t="s" s="0">
        <v>155</v>
      </c>
      <c r="I30" t="s" s="0">
        <v>40</v>
      </c>
      <c r="J30" t="n" s="2">
        <v>6.0</v>
      </c>
      <c r="K30" t="n" s="2">
        <v>4.0</v>
      </c>
      <c r="L30" t="n" s="2">
        <v>2.0</v>
      </c>
      <c r="M30" s="3">
        <f>IFERROR(K30/J30,0)</f>
      </c>
      <c r="N30" t="s">
        <v>152</v>
      </c>
      <c r="O30" t="s">
        <v>91</v>
      </c>
      <c r="P30" t="s">
        <v>153</v>
      </c>
      <c r="Q30" t="s">
        <v>156</v>
      </c>
      <c r="R30" t="s">
        <v>157</v>
      </c>
      <c r="S30" t="s">
        <v>32</v>
      </c>
      <c r="T30" t="n" s="2">
        <v>7.3</v>
      </c>
      <c r="U30" t="s">
        <v>79</v>
      </c>
      <c r="V30" t="s">
        <v>158</v>
      </c>
      <c r="W30" t="n" s="2">
        <v>1.3</v>
      </c>
    </row>
    <row r="31">
      <c r="A31" t="s" s="0">
        <v>148</v>
      </c>
      <c r="B31" t="s" s="0">
        <v>24</v>
      </c>
      <c r="C31" t="s" s="0">
        <v>25</v>
      </c>
      <c r="D31" t="s" s="0">
        <v>149</v>
      </c>
      <c r="E31" t="s" s="0">
        <v>27</v>
      </c>
      <c r="F31" t="s" s="0">
        <v>150</v>
      </c>
      <c r="G31" t="s" s="0">
        <v>46</v>
      </c>
      <c r="H31" t="s" s="0">
        <v>159</v>
      </c>
      <c r="I31" t="s" s="0">
        <v>48</v>
      </c>
      <c r="J31" t="s" s="0">
        <v>50</v>
      </c>
      <c r="K31" t="s">
        <v>50</v>
      </c>
      <c r="L31" t="s">
        <v>50</v>
      </c>
      <c r="M31" s="3">
        <f>IFERROR(K31/J31,0)</f>
      </c>
      <c r="N31" t="s">
        <v>152</v>
      </c>
      <c r="O31" t="s">
        <v>91</v>
      </c>
      <c r="P31" t="s">
        <v>50</v>
      </c>
      <c r="Q31" t="s">
        <v>50</v>
      </c>
      <c r="R31" t="s">
        <v>50</v>
      </c>
      <c r="S31" t="s">
        <v>41</v>
      </c>
      <c r="U31" t="s">
        <v>51</v>
      </c>
      <c r="V31" t="s">
        <v>51</v>
      </c>
      <c r="W31" t="s">
        <v>51</v>
      </c>
    </row>
    <row r="32">
      <c r="A32" t="s" s="0">
        <v>148</v>
      </c>
      <c r="B32" t="s" s="0">
        <v>24</v>
      </c>
      <c r="C32" t="s" s="0">
        <v>25</v>
      </c>
      <c r="D32" t="s" s="0">
        <v>149</v>
      </c>
      <c r="E32" t="s" s="0">
        <v>27</v>
      </c>
      <c r="F32" t="s" s="0">
        <v>150</v>
      </c>
      <c r="G32" t="s" s="0">
        <v>52</v>
      </c>
      <c r="H32" t="s" s="0">
        <v>93</v>
      </c>
      <c r="I32" t="s" s="0">
        <v>31</v>
      </c>
      <c r="J32" t="n" s="2">
        <v>7.0</v>
      </c>
      <c r="K32" t="s">
        <v>50</v>
      </c>
      <c r="L32" t="s">
        <v>50</v>
      </c>
      <c r="M32" s="3">
        <f>IFERROR(K32/J32,0)</f>
      </c>
      <c r="N32" t="s">
        <v>152</v>
      </c>
      <c r="O32" t="s">
        <v>91</v>
      </c>
      <c r="P32" t="s">
        <v>160</v>
      </c>
      <c r="Q32" t="s">
        <v>50</v>
      </c>
      <c r="R32" t="s">
        <v>161</v>
      </c>
      <c r="S32" t="s">
        <v>34</v>
      </c>
      <c r="T32" t="n" s="2">
        <v>8.7</v>
      </c>
      <c r="U32" t="s">
        <v>162</v>
      </c>
      <c r="V32" t="s">
        <v>51</v>
      </c>
      <c r="W32" t="n" s="2">
        <v>1.7</v>
      </c>
    </row>
    <row r="33">
      <c r="A33" t="s" s="0">
        <v>148</v>
      </c>
      <c r="B33" t="s" s="0">
        <v>24</v>
      </c>
      <c r="C33" t="s" s="0">
        <v>25</v>
      </c>
      <c r="D33" t="s" s="0">
        <v>149</v>
      </c>
      <c r="E33" t="s" s="0">
        <v>27</v>
      </c>
      <c r="F33" t="s" s="0">
        <v>150</v>
      </c>
      <c r="G33" t="s" s="0">
        <v>52</v>
      </c>
      <c r="H33" t="s" s="0">
        <v>163</v>
      </c>
      <c r="I33" t="s" s="0">
        <v>31</v>
      </c>
      <c r="J33" t="n" s="2">
        <v>6.9</v>
      </c>
      <c r="K33" t="n" s="2">
        <v>4.7</v>
      </c>
      <c r="L33" t="n" s="2">
        <v>2.2</v>
      </c>
      <c r="M33" s="3">
        <f>IFERROR(K33/J33,0)</f>
      </c>
      <c r="N33" t="s">
        <v>152</v>
      </c>
      <c r="O33" t="s">
        <v>91</v>
      </c>
      <c r="P33" t="s">
        <v>164</v>
      </c>
      <c r="Q33" t="s">
        <v>165</v>
      </c>
      <c r="R33" t="s">
        <v>166</v>
      </c>
      <c r="S33" t="s">
        <v>49</v>
      </c>
      <c r="T33" t="n" s="2">
        <v>8.7</v>
      </c>
      <c r="U33" t="s">
        <v>167</v>
      </c>
      <c r="V33" t="s">
        <v>168</v>
      </c>
      <c r="W33" t="n" s="2">
        <v>1.8</v>
      </c>
    </row>
    <row r="34">
      <c r="A34" t="s" s="0">
        <v>148</v>
      </c>
      <c r="B34" t="s" s="0">
        <v>24</v>
      </c>
      <c r="C34" t="s" s="0">
        <v>25</v>
      </c>
      <c r="D34" t="s" s="0">
        <v>149</v>
      </c>
      <c r="E34" t="s" s="0">
        <v>27</v>
      </c>
      <c r="F34" t="s" s="0">
        <v>150</v>
      </c>
      <c r="G34" t="s" s="0">
        <v>52</v>
      </c>
      <c r="H34" t="s" s="0">
        <v>169</v>
      </c>
      <c r="I34" t="s" s="0">
        <v>31</v>
      </c>
      <c r="J34" t="s" s="0">
        <v>50</v>
      </c>
      <c r="K34" t="n" s="2">
        <v>4.5</v>
      </c>
      <c r="L34" t="s">
        <v>50</v>
      </c>
      <c r="M34" s="3">
        <f>IFERROR(K34/J34,0)</f>
      </c>
      <c r="N34" t="s">
        <v>152</v>
      </c>
      <c r="O34" t="s">
        <v>91</v>
      </c>
      <c r="P34" t="s">
        <v>50</v>
      </c>
      <c r="Q34" t="s">
        <v>170</v>
      </c>
      <c r="R34" t="s">
        <v>50</v>
      </c>
      <c r="S34" t="s">
        <v>54</v>
      </c>
      <c r="T34" t="n" s="2">
        <v>8.7</v>
      </c>
      <c r="U34" t="s">
        <v>51</v>
      </c>
      <c r="V34" t="s">
        <v>51</v>
      </c>
      <c r="W34" t="s">
        <v>51</v>
      </c>
    </row>
    <row r="35">
      <c r="A35" t="s" s="0">
        <v>148</v>
      </c>
      <c r="B35" t="s" s="0">
        <v>24</v>
      </c>
      <c r="C35" t="s" s="0">
        <v>25</v>
      </c>
      <c r="D35" t="s" s="0">
        <v>149</v>
      </c>
      <c r="E35" t="s" s="0">
        <v>27</v>
      </c>
      <c r="F35" t="s" s="0">
        <v>150</v>
      </c>
      <c r="G35" t="s" s="0">
        <v>57</v>
      </c>
      <c r="H35" t="s" s="0">
        <v>171</v>
      </c>
      <c r="I35" t="s" s="0">
        <v>48</v>
      </c>
      <c r="J35" t="s" s="0">
        <v>50</v>
      </c>
      <c r="K35" t="s">
        <v>50</v>
      </c>
      <c r="L35" t="s">
        <v>50</v>
      </c>
      <c r="M35" s="3">
        <f>IFERROR(K35/J35,0)</f>
      </c>
      <c r="N35" t="s">
        <v>152</v>
      </c>
      <c r="O35" t="s">
        <v>91</v>
      </c>
      <c r="P35" t="s">
        <v>50</v>
      </c>
      <c r="Q35" t="s">
        <v>50</v>
      </c>
      <c r="R35" t="s">
        <v>50</v>
      </c>
      <c r="S35" t="s">
        <v>59</v>
      </c>
      <c r="U35" t="s">
        <v>51</v>
      </c>
      <c r="V35" t="s">
        <v>51</v>
      </c>
      <c r="W35" t="s">
        <v>51</v>
      </c>
    </row>
    <row r="36">
      <c r="A36" t="s" s="0">
        <v>148</v>
      </c>
      <c r="B36" t="s" s="0">
        <v>24</v>
      </c>
      <c r="C36" t="s" s="0">
        <v>25</v>
      </c>
      <c r="D36" t="s" s="0">
        <v>149</v>
      </c>
      <c r="E36" t="s" s="0">
        <v>27</v>
      </c>
      <c r="F36" t="s" s="0">
        <v>150</v>
      </c>
      <c r="G36" t="s" s="0">
        <v>134</v>
      </c>
      <c r="H36" t="s" s="0">
        <v>172</v>
      </c>
      <c r="I36" t="s" s="0">
        <v>48</v>
      </c>
      <c r="J36" t="s" s="0">
        <v>50</v>
      </c>
      <c r="K36" t="s">
        <v>50</v>
      </c>
      <c r="L36" t="s">
        <v>50</v>
      </c>
      <c r="M36" s="3">
        <f>IFERROR(K36/J36,0)</f>
      </c>
      <c r="N36" t="s">
        <v>152</v>
      </c>
      <c r="O36" t="s">
        <v>91</v>
      </c>
      <c r="P36" t="s">
        <v>50</v>
      </c>
      <c r="Q36" t="s">
        <v>50</v>
      </c>
      <c r="R36" t="s">
        <v>50</v>
      </c>
      <c r="S36" t="s">
        <v>91</v>
      </c>
      <c r="U36" t="s">
        <v>51</v>
      </c>
      <c r="V36" t="s">
        <v>51</v>
      </c>
      <c r="W36" t="s">
        <v>51</v>
      </c>
    </row>
    <row r="37">
      <c r="A37" t="s" s="0">
        <v>148</v>
      </c>
      <c r="B37" t="s" s="0">
        <v>24</v>
      </c>
      <c r="C37" t="s" s="0">
        <v>25</v>
      </c>
      <c r="D37" t="s" s="0">
        <v>149</v>
      </c>
      <c r="E37" t="s" s="0">
        <v>27</v>
      </c>
      <c r="F37" t="s" s="0">
        <v>150</v>
      </c>
      <c r="G37" t="s" s="0">
        <v>60</v>
      </c>
      <c r="H37" t="s" s="0">
        <v>173</v>
      </c>
      <c r="I37" t="s" s="0">
        <v>48</v>
      </c>
      <c r="J37" t="n" s="2">
        <v>7.7</v>
      </c>
      <c r="K37" t="s">
        <v>50</v>
      </c>
      <c r="L37" t="s">
        <v>50</v>
      </c>
      <c r="M37" s="3">
        <f>IFERROR(K37/J37,0)</f>
      </c>
      <c r="N37" t="s">
        <v>152</v>
      </c>
      <c r="O37" t="s">
        <v>91</v>
      </c>
      <c r="P37" t="s">
        <v>174</v>
      </c>
      <c r="Q37" t="s">
        <v>50</v>
      </c>
      <c r="R37" t="s">
        <v>175</v>
      </c>
      <c r="S37" t="s">
        <v>62</v>
      </c>
      <c r="U37" t="s">
        <v>51</v>
      </c>
      <c r="V37" t="s">
        <v>51</v>
      </c>
      <c r="W37" t="s">
        <v>51</v>
      </c>
    </row>
    <row r="38">
      <c r="A38" t="s" s="0">
        <v>176</v>
      </c>
      <c r="B38" t="s" s="0">
        <v>24</v>
      </c>
      <c r="C38" t="s" s="0">
        <v>125</v>
      </c>
      <c r="D38" t="s" s="0">
        <v>177</v>
      </c>
      <c r="E38" t="s" s="0">
        <v>178</v>
      </c>
      <c r="F38" t="s" s="0">
        <v>179</v>
      </c>
      <c r="G38" t="s" s="0">
        <v>29</v>
      </c>
      <c r="H38" t="s" s="0">
        <v>106</v>
      </c>
      <c r="I38" t="s" s="0">
        <v>107</v>
      </c>
      <c r="J38" t="n" s="2">
        <v>5.9</v>
      </c>
      <c r="K38" t="n" s="2">
        <v>4.0</v>
      </c>
      <c r="L38" t="n" s="2">
        <v>1.9</v>
      </c>
      <c r="M38" s="3">
        <f>IFERROR(K38/J38,0)</f>
      </c>
      <c r="N38" t="s">
        <v>59</v>
      </c>
      <c r="O38" t="s">
        <v>70</v>
      </c>
      <c r="P38" t="s">
        <v>180</v>
      </c>
      <c r="Q38" t="s">
        <v>181</v>
      </c>
      <c r="R38" t="s">
        <v>182</v>
      </c>
      <c r="S38" t="s">
        <v>32</v>
      </c>
      <c r="T38" t="n" s="2">
        <v>6.4</v>
      </c>
      <c r="U38" t="s">
        <v>183</v>
      </c>
      <c r="V38" t="s">
        <v>184</v>
      </c>
      <c r="W38" t="n" s="2">
        <v>0.5</v>
      </c>
    </row>
    <row r="39">
      <c r="A39" t="s" s="0">
        <v>185</v>
      </c>
      <c r="B39" t="s" s="0">
        <v>24</v>
      </c>
      <c r="C39" t="s" s="0">
        <v>25</v>
      </c>
      <c r="D39" t="s" s="0">
        <v>186</v>
      </c>
      <c r="E39" t="s" s="0">
        <v>127</v>
      </c>
      <c r="F39" t="s" s="0">
        <v>187</v>
      </c>
      <c r="G39" t="s" s="0">
        <v>29</v>
      </c>
      <c r="H39" t="s" s="0">
        <v>188</v>
      </c>
      <c r="I39" t="s" s="0">
        <v>107</v>
      </c>
      <c r="J39" t="n" s="2">
        <v>5.1</v>
      </c>
      <c r="K39" t="s">
        <v>50</v>
      </c>
      <c r="L39" t="s">
        <v>50</v>
      </c>
      <c r="M39" s="3">
        <f>IFERROR(K39/J39,0)</f>
      </c>
      <c r="N39" t="s">
        <v>189</v>
      </c>
      <c r="O39" t="s">
        <v>32</v>
      </c>
      <c r="P39" t="s">
        <v>190</v>
      </c>
      <c r="Q39" t="s">
        <v>50</v>
      </c>
      <c r="R39" t="s">
        <v>191</v>
      </c>
      <c r="S39" t="s">
        <v>70</v>
      </c>
      <c r="T39" t="n" s="2">
        <v>6.53</v>
      </c>
      <c r="U39" t="s">
        <v>192</v>
      </c>
      <c r="V39" t="s">
        <v>51</v>
      </c>
      <c r="W39" t="n" s="2">
        <v>1.43</v>
      </c>
    </row>
    <row r="40">
      <c r="A40" t="s" s="0">
        <v>185</v>
      </c>
      <c r="B40" t="s" s="0">
        <v>24</v>
      </c>
      <c r="C40" t="s" s="0">
        <v>25</v>
      </c>
      <c r="D40" t="s" s="0">
        <v>186</v>
      </c>
      <c r="E40" t="s" s="0">
        <v>127</v>
      </c>
      <c r="F40" t="s" s="0">
        <v>187</v>
      </c>
      <c r="G40" t="s" s="0">
        <v>52</v>
      </c>
      <c r="H40" t="s" s="0">
        <v>193</v>
      </c>
      <c r="I40" t="s" s="0">
        <v>31</v>
      </c>
      <c r="J40" t="n" s="2">
        <v>6.7</v>
      </c>
      <c r="K40" t="s">
        <v>50</v>
      </c>
      <c r="L40" t="s">
        <v>50</v>
      </c>
      <c r="M40" s="3">
        <f>IFERROR(K40/J40,0)</f>
      </c>
      <c r="N40" t="s">
        <v>189</v>
      </c>
      <c r="O40" t="s">
        <v>32</v>
      </c>
      <c r="P40" t="s">
        <v>194</v>
      </c>
      <c r="Q40" t="s">
        <v>50</v>
      </c>
      <c r="R40" t="s">
        <v>195</v>
      </c>
      <c r="S40" t="s">
        <v>32</v>
      </c>
      <c r="T40" t="n" s="2">
        <v>8.3</v>
      </c>
      <c r="U40" t="s">
        <v>196</v>
      </c>
      <c r="V40" t="s">
        <v>51</v>
      </c>
      <c r="W40" t="n" s="2">
        <v>1.6</v>
      </c>
    </row>
    <row r="41">
      <c r="A41" t="s" s="0">
        <v>185</v>
      </c>
      <c r="B41" t="s" s="0">
        <v>24</v>
      </c>
      <c r="C41" t="s" s="0">
        <v>25</v>
      </c>
      <c r="D41" t="s" s="0">
        <v>186</v>
      </c>
      <c r="E41" t="s" s="0">
        <v>127</v>
      </c>
      <c r="F41" t="s" s="0">
        <v>187</v>
      </c>
      <c r="G41" t="s" s="0">
        <v>197</v>
      </c>
      <c r="H41" t="s" s="0">
        <v>198</v>
      </c>
      <c r="I41" t="s" s="0">
        <v>48</v>
      </c>
      <c r="J41" t="n" s="2">
        <v>7.4</v>
      </c>
      <c r="K41" t="n" s="2">
        <v>5.5</v>
      </c>
      <c r="L41" t="n" s="2">
        <v>1.9</v>
      </c>
      <c r="M41" s="3">
        <f>IFERROR(K41/J41,0)</f>
      </c>
      <c r="N41" t="s">
        <v>189</v>
      </c>
      <c r="O41" t="s">
        <v>32</v>
      </c>
      <c r="P41" t="s">
        <v>199</v>
      </c>
      <c r="Q41" t="s">
        <v>200</v>
      </c>
      <c r="R41" t="s">
        <v>50</v>
      </c>
      <c r="S41" t="s">
        <v>41</v>
      </c>
      <c r="U41" t="s">
        <v>51</v>
      </c>
      <c r="V41" t="s">
        <v>51</v>
      </c>
      <c r="W41" t="s">
        <v>51</v>
      </c>
    </row>
    <row r="42">
      <c r="A42" t="s" s="0">
        <v>201</v>
      </c>
      <c r="B42" t="s" s="0">
        <v>24</v>
      </c>
      <c r="C42" t="s" s="0">
        <v>125</v>
      </c>
      <c r="D42" t="s" s="0">
        <v>202</v>
      </c>
      <c r="E42" t="s" s="0">
        <v>203</v>
      </c>
      <c r="F42" t="s" s="0">
        <v>204</v>
      </c>
      <c r="G42" t="s" s="0">
        <v>29</v>
      </c>
      <c r="H42" t="s" s="0">
        <v>205</v>
      </c>
      <c r="I42" t="s" s="0">
        <v>40</v>
      </c>
      <c r="J42" t="n" s="2">
        <v>10.0</v>
      </c>
      <c r="K42" t="s">
        <v>50</v>
      </c>
      <c r="L42" t="s">
        <v>50</v>
      </c>
      <c r="M42" s="3">
        <f>IFERROR(K42/J42,0)</f>
      </c>
      <c r="N42" t="s">
        <v>206</v>
      </c>
      <c r="O42" t="s">
        <v>70</v>
      </c>
      <c r="P42" t="s">
        <v>207</v>
      </c>
      <c r="Q42" t="s">
        <v>50</v>
      </c>
      <c r="R42" t="s">
        <v>208</v>
      </c>
      <c r="S42" t="s">
        <v>70</v>
      </c>
      <c r="T42" t="n" s="2">
        <v>9.78</v>
      </c>
      <c r="U42" t="s">
        <v>209</v>
      </c>
      <c r="V42" t="s">
        <v>51</v>
      </c>
      <c r="W42" t="n" s="2">
        <v>-0.22</v>
      </c>
    </row>
    <row r="43">
      <c r="A43" t="s" s="0">
        <v>201</v>
      </c>
      <c r="B43" t="s" s="0">
        <v>24</v>
      </c>
      <c r="C43" t="s" s="0">
        <v>125</v>
      </c>
      <c r="D43" t="s" s="0">
        <v>202</v>
      </c>
      <c r="E43" t="s" s="0">
        <v>203</v>
      </c>
      <c r="F43" t="s" s="0">
        <v>204</v>
      </c>
      <c r="G43" t="s" s="0">
        <v>29</v>
      </c>
      <c r="H43" t="s" s="0">
        <v>210</v>
      </c>
      <c r="I43" t="s" s="0">
        <v>40</v>
      </c>
      <c r="J43" t="n" s="2">
        <v>10.0</v>
      </c>
      <c r="K43" t="s">
        <v>50</v>
      </c>
      <c r="L43" t="s">
        <v>50</v>
      </c>
      <c r="M43" s="3">
        <f>IFERROR(K43/J43,0)</f>
      </c>
      <c r="N43" t="s">
        <v>206</v>
      </c>
      <c r="O43" t="s">
        <v>70</v>
      </c>
      <c r="P43" t="s">
        <v>211</v>
      </c>
      <c r="Q43" t="s">
        <v>50</v>
      </c>
      <c r="R43" t="s">
        <v>212</v>
      </c>
      <c r="S43" t="s">
        <v>32</v>
      </c>
      <c r="T43" t="n" s="2">
        <v>9.78</v>
      </c>
      <c r="U43" t="s">
        <v>209</v>
      </c>
      <c r="V43" t="s">
        <v>51</v>
      </c>
      <c r="W43" t="n" s="2">
        <v>-0.22</v>
      </c>
    </row>
    <row r="44">
      <c r="A44" t="s" s="0">
        <v>201</v>
      </c>
      <c r="B44" t="s" s="0">
        <v>24</v>
      </c>
      <c r="C44" t="s" s="0">
        <v>125</v>
      </c>
      <c r="D44" t="s" s="0">
        <v>202</v>
      </c>
      <c r="E44" t="s" s="0">
        <v>203</v>
      </c>
      <c r="F44" t="s" s="0">
        <v>204</v>
      </c>
      <c r="G44" t="s" s="0">
        <v>52</v>
      </c>
      <c r="H44" t="s" s="0">
        <v>213</v>
      </c>
      <c r="I44" t="s" s="0">
        <v>31</v>
      </c>
      <c r="J44" t="n" s="2">
        <v>11.9</v>
      </c>
      <c r="K44" t="n" s="2">
        <v>6.0</v>
      </c>
      <c r="L44" t="n" s="2">
        <v>5.9</v>
      </c>
      <c r="M44" s="3">
        <f>IFERROR(K44/J44,0)</f>
      </c>
      <c r="N44" t="s">
        <v>206</v>
      </c>
      <c r="O44" t="s">
        <v>70</v>
      </c>
      <c r="P44" t="s">
        <v>108</v>
      </c>
      <c r="Q44" t="s">
        <v>108</v>
      </c>
      <c r="R44" t="s">
        <v>214</v>
      </c>
      <c r="S44" t="s">
        <v>41</v>
      </c>
      <c r="T44" t="n" s="2">
        <v>10.9</v>
      </c>
      <c r="U44" t="s">
        <v>215</v>
      </c>
      <c r="V44" t="s">
        <v>216</v>
      </c>
      <c r="W44" t="n" s="2">
        <v>-1.0</v>
      </c>
    </row>
    <row r="45">
      <c r="A45" t="s" s="0">
        <v>201</v>
      </c>
      <c r="B45" t="s" s="0">
        <v>24</v>
      </c>
      <c r="C45" t="s" s="0">
        <v>125</v>
      </c>
      <c r="D45" t="s" s="0">
        <v>202</v>
      </c>
      <c r="E45" t="s" s="0">
        <v>203</v>
      </c>
      <c r="F45" t="s" s="0">
        <v>204</v>
      </c>
      <c r="G45" t="s" s="0">
        <v>217</v>
      </c>
      <c r="H45" t="s" s="0">
        <v>145</v>
      </c>
      <c r="I45" t="s" s="0">
        <v>48</v>
      </c>
      <c r="J45" t="n" s="2">
        <v>12.5</v>
      </c>
      <c r="K45" t="s">
        <v>50</v>
      </c>
      <c r="L45" t="s">
        <v>50</v>
      </c>
      <c r="M45" s="3">
        <f>IFERROR(K45/J45,0)</f>
      </c>
      <c r="N45" t="s">
        <v>206</v>
      </c>
      <c r="O45" t="s">
        <v>70</v>
      </c>
      <c r="P45" t="s">
        <v>218</v>
      </c>
      <c r="Q45" t="s">
        <v>50</v>
      </c>
      <c r="R45" t="s">
        <v>219</v>
      </c>
      <c r="S45" t="s">
        <v>34</v>
      </c>
      <c r="U45" t="s">
        <v>51</v>
      </c>
      <c r="V45" t="s">
        <v>51</v>
      </c>
      <c r="W45" t="s">
        <v>51</v>
      </c>
    </row>
    <row r="46">
      <c r="A46" t="s" s="0">
        <v>220</v>
      </c>
      <c r="B46" t="s" s="0">
        <v>24</v>
      </c>
      <c r="C46" t="s" s="0">
        <v>25</v>
      </c>
      <c r="D46" t="s" s="0">
        <v>221</v>
      </c>
      <c r="E46" t="s" s="0">
        <v>222</v>
      </c>
      <c r="F46" t="s" s="0">
        <v>223</v>
      </c>
      <c r="G46" t="s" s="0">
        <v>224</v>
      </c>
      <c r="H46" t="s" s="0">
        <v>225</v>
      </c>
      <c r="I46" t="s" s="0">
        <v>100</v>
      </c>
      <c r="J46" t="n" s="2">
        <v>4.0</v>
      </c>
      <c r="K46" t="n" s="2">
        <v>2.0</v>
      </c>
      <c r="L46" t="n" s="2">
        <v>2.0</v>
      </c>
      <c r="M46" s="3">
        <f>IFERROR(K46/J46,0)</f>
      </c>
      <c r="N46" t="s">
        <v>71</v>
      </c>
      <c r="O46" t="s">
        <v>41</v>
      </c>
      <c r="P46" t="s">
        <v>226</v>
      </c>
      <c r="Q46" t="s">
        <v>226</v>
      </c>
      <c r="R46" t="s">
        <v>227</v>
      </c>
      <c r="S46" t="s">
        <v>70</v>
      </c>
      <c r="U46" t="s">
        <v>51</v>
      </c>
      <c r="V46" t="s">
        <v>51</v>
      </c>
      <c r="W46" t="s">
        <v>51</v>
      </c>
    </row>
    <row r="47">
      <c r="A47" t="s" s="0">
        <v>220</v>
      </c>
      <c r="B47" t="s" s="0">
        <v>24</v>
      </c>
      <c r="C47" t="s" s="0">
        <v>25</v>
      </c>
      <c r="D47" t="s" s="0">
        <v>221</v>
      </c>
      <c r="E47" t="s" s="0">
        <v>222</v>
      </c>
      <c r="F47" t="s" s="0">
        <v>223</v>
      </c>
      <c r="G47" t="s" s="0">
        <v>105</v>
      </c>
      <c r="H47" t="s" s="0">
        <v>228</v>
      </c>
      <c r="I47" t="s" s="0">
        <v>100</v>
      </c>
      <c r="J47" t="n" s="2">
        <v>5.5</v>
      </c>
      <c r="K47" t="s">
        <v>50</v>
      </c>
      <c r="L47" t="s">
        <v>50</v>
      </c>
      <c r="M47" s="3">
        <f>IFERROR(K47/J47,0)</f>
      </c>
      <c r="N47" t="s">
        <v>71</v>
      </c>
      <c r="O47" t="s">
        <v>41</v>
      </c>
      <c r="P47" t="s">
        <v>229</v>
      </c>
      <c r="Q47" t="s">
        <v>50</v>
      </c>
      <c r="R47" t="s">
        <v>230</v>
      </c>
      <c r="S47" t="s">
        <v>32</v>
      </c>
      <c r="T47" t="n" s="2">
        <v>7.5</v>
      </c>
      <c r="U47" t="s">
        <v>231</v>
      </c>
      <c r="V47" t="s">
        <v>51</v>
      </c>
      <c r="W47" t="n" s="2">
        <v>2.0</v>
      </c>
    </row>
    <row r="48">
      <c r="A48" t="s" s="0">
        <v>220</v>
      </c>
      <c r="B48" t="s" s="0">
        <v>24</v>
      </c>
      <c r="C48" t="s" s="0">
        <v>25</v>
      </c>
      <c r="D48" t="s" s="0">
        <v>221</v>
      </c>
      <c r="E48" t="s" s="0">
        <v>222</v>
      </c>
      <c r="F48" t="s" s="0">
        <v>223</v>
      </c>
      <c r="G48" t="s" s="0">
        <v>232</v>
      </c>
      <c r="H48" t="s" s="0">
        <v>75</v>
      </c>
      <c r="I48" t="s" s="0">
        <v>107</v>
      </c>
      <c r="J48" t="n" s="2">
        <v>6.9</v>
      </c>
      <c r="K48" t="s">
        <v>50</v>
      </c>
      <c r="L48" t="s">
        <v>50</v>
      </c>
      <c r="M48" s="3">
        <f>IFERROR(K48/J48,0)</f>
      </c>
      <c r="N48" t="s">
        <v>71</v>
      </c>
      <c r="O48" t="s">
        <v>41</v>
      </c>
      <c r="P48" t="s">
        <v>233</v>
      </c>
      <c r="Q48" t="s">
        <v>50</v>
      </c>
      <c r="R48" t="s">
        <v>234</v>
      </c>
      <c r="S48" t="s">
        <v>41</v>
      </c>
      <c r="T48" t="n" s="2">
        <v>7.25</v>
      </c>
      <c r="U48" t="s">
        <v>235</v>
      </c>
      <c r="V48" t="s">
        <v>51</v>
      </c>
      <c r="W48" t="n" s="2">
        <v>0.35</v>
      </c>
    </row>
    <row r="49">
      <c r="A49" t="s" s="0">
        <v>220</v>
      </c>
      <c r="B49" t="s" s="0">
        <v>24</v>
      </c>
      <c r="C49" t="s" s="0">
        <v>25</v>
      </c>
      <c r="D49" t="s" s="0">
        <v>221</v>
      </c>
      <c r="E49" t="s" s="0">
        <v>222</v>
      </c>
      <c r="F49" t="s" s="0">
        <v>223</v>
      </c>
      <c r="G49" t="s" s="0">
        <v>232</v>
      </c>
      <c r="H49" t="s" s="0">
        <v>236</v>
      </c>
      <c r="I49" t="s" s="0">
        <v>107</v>
      </c>
      <c r="J49" t="n" s="2">
        <v>6.0</v>
      </c>
      <c r="K49" t="s">
        <v>50</v>
      </c>
      <c r="L49" t="s">
        <v>50</v>
      </c>
      <c r="M49" s="3">
        <f>IFERROR(K49/J49,0)</f>
      </c>
      <c r="N49" t="s">
        <v>71</v>
      </c>
      <c r="O49" t="s">
        <v>41</v>
      </c>
      <c r="P49" t="s">
        <v>226</v>
      </c>
      <c r="Q49" t="s">
        <v>50</v>
      </c>
      <c r="R49" t="s">
        <v>50</v>
      </c>
      <c r="S49" t="s">
        <v>34</v>
      </c>
      <c r="T49" t="n" s="2">
        <v>7.25</v>
      </c>
      <c r="U49" t="s">
        <v>237</v>
      </c>
      <c r="V49" t="s">
        <v>51</v>
      </c>
      <c r="W49" t="n" s="2">
        <v>1.25</v>
      </c>
    </row>
    <row r="50">
      <c r="A50" t="s" s="0">
        <v>220</v>
      </c>
      <c r="B50" t="s" s="0">
        <v>24</v>
      </c>
      <c r="C50" t="s" s="0">
        <v>25</v>
      </c>
      <c r="D50" t="s" s="0">
        <v>221</v>
      </c>
      <c r="E50" t="s" s="0">
        <v>222</v>
      </c>
      <c r="F50" t="s" s="0">
        <v>223</v>
      </c>
      <c r="G50" t="s" s="0">
        <v>232</v>
      </c>
      <c r="H50" t="s" s="0">
        <v>238</v>
      </c>
      <c r="I50" t="s" s="0">
        <v>107</v>
      </c>
      <c r="J50" t="n" s="2">
        <v>6.1</v>
      </c>
      <c r="K50" t="s">
        <v>50</v>
      </c>
      <c r="L50" t="s">
        <v>50</v>
      </c>
      <c r="M50" s="3">
        <f>IFERROR(K50/J50,0)</f>
      </c>
      <c r="N50" t="s">
        <v>71</v>
      </c>
      <c r="O50" t="s">
        <v>41</v>
      </c>
      <c r="P50" t="s">
        <v>239</v>
      </c>
      <c r="Q50" t="s">
        <v>50</v>
      </c>
      <c r="R50" t="s">
        <v>240</v>
      </c>
      <c r="S50" t="s">
        <v>49</v>
      </c>
      <c r="T50" t="n" s="2">
        <v>7.25</v>
      </c>
      <c r="U50" t="s">
        <v>241</v>
      </c>
      <c r="V50" t="s">
        <v>51</v>
      </c>
      <c r="W50" t="n" s="2">
        <v>1.15</v>
      </c>
    </row>
    <row r="51">
      <c r="A51" t="s" s="0">
        <v>242</v>
      </c>
      <c r="B51" t="s" s="0">
        <v>243</v>
      </c>
      <c r="C51" t="s" s="0">
        <v>244</v>
      </c>
      <c r="D51" t="s" s="0">
        <v>65</v>
      </c>
      <c r="E51" t="s" s="0">
        <v>222</v>
      </c>
      <c r="F51" t="s" s="0">
        <v>245</v>
      </c>
      <c r="G51" t="s" s="0">
        <v>246</v>
      </c>
      <c r="H51" t="s" s="0">
        <v>159</v>
      </c>
      <c r="I51" t="s" s="0">
        <v>40</v>
      </c>
      <c r="J51" t="n" s="2">
        <v>7.5</v>
      </c>
      <c r="K51" t="s">
        <v>50</v>
      </c>
      <c r="L51" t="s">
        <v>50</v>
      </c>
      <c r="M51" s="3">
        <f>IFERROR(K51/J51,0)</f>
      </c>
      <c r="N51" t="s">
        <v>70</v>
      </c>
      <c r="O51" t="s">
        <v>247</v>
      </c>
      <c r="P51" t="s">
        <v>248</v>
      </c>
      <c r="Q51" t="s">
        <v>50</v>
      </c>
      <c r="R51" t="s">
        <v>249</v>
      </c>
      <c r="S51" t="s">
        <v>70</v>
      </c>
      <c r="T51" t="n" s="2">
        <v>8.8</v>
      </c>
      <c r="U51" t="s">
        <v>250</v>
      </c>
      <c r="V51" t="s">
        <v>51</v>
      </c>
      <c r="W51" t="n" s="2">
        <v>1.3</v>
      </c>
    </row>
    <row r="52">
      <c r="A52" t="s" s="0">
        <v>242</v>
      </c>
      <c r="B52" t="s" s="0">
        <v>243</v>
      </c>
      <c r="C52" t="s" s="0">
        <v>244</v>
      </c>
      <c r="D52" t="s" s="0">
        <v>65</v>
      </c>
      <c r="E52" t="s" s="0">
        <v>222</v>
      </c>
      <c r="F52" t="s" s="0">
        <v>245</v>
      </c>
      <c r="G52" t="s" s="0">
        <v>246</v>
      </c>
      <c r="H52" t="s" s="0">
        <v>251</v>
      </c>
      <c r="I52" t="s" s="0">
        <v>40</v>
      </c>
      <c r="J52" t="s" s="0">
        <v>50</v>
      </c>
      <c r="K52" t="s">
        <v>50</v>
      </c>
      <c r="L52" t="s">
        <v>50</v>
      </c>
      <c r="M52" s="3">
        <f>IFERROR(K52/J52,0)</f>
      </c>
      <c r="N52" t="s">
        <v>70</v>
      </c>
      <c r="O52" t="s">
        <v>247</v>
      </c>
      <c r="P52" t="s">
        <v>50</v>
      </c>
      <c r="Q52" t="s">
        <v>50</v>
      </c>
      <c r="R52" t="s">
        <v>50</v>
      </c>
      <c r="S52" t="s">
        <v>32</v>
      </c>
      <c r="T52" t="n" s="2">
        <v>8.8</v>
      </c>
      <c r="U52" t="s">
        <v>51</v>
      </c>
      <c r="V52" t="s">
        <v>51</v>
      </c>
      <c r="W52" t="s">
        <v>51</v>
      </c>
    </row>
    <row r="53">
      <c r="A53" t="s" s="0">
        <v>242</v>
      </c>
      <c r="B53" t="s" s="0">
        <v>243</v>
      </c>
      <c r="C53" t="s" s="0">
        <v>244</v>
      </c>
      <c r="D53" t="s" s="0">
        <v>65</v>
      </c>
      <c r="E53" t="s" s="0">
        <v>222</v>
      </c>
      <c r="F53" t="s" s="0">
        <v>245</v>
      </c>
      <c r="G53" t="s" s="0">
        <v>246</v>
      </c>
      <c r="H53" t="s" s="0">
        <v>252</v>
      </c>
      <c r="I53" t="s" s="0">
        <v>40</v>
      </c>
      <c r="J53" t="s" s="0">
        <v>50</v>
      </c>
      <c r="K53" t="s">
        <v>50</v>
      </c>
      <c r="L53" t="s">
        <v>50</v>
      </c>
      <c r="M53" s="3">
        <f>IFERROR(K53/J53,0)</f>
      </c>
      <c r="N53" t="s">
        <v>70</v>
      </c>
      <c r="O53" t="s">
        <v>247</v>
      </c>
      <c r="P53" t="s">
        <v>50</v>
      </c>
      <c r="Q53" t="s">
        <v>50</v>
      </c>
      <c r="R53" t="s">
        <v>50</v>
      </c>
      <c r="S53" t="s">
        <v>41</v>
      </c>
      <c r="T53" t="n" s="2">
        <v>8.8</v>
      </c>
      <c r="U53" t="s">
        <v>51</v>
      </c>
      <c r="V53" t="s">
        <v>51</v>
      </c>
      <c r="W53" t="s">
        <v>51</v>
      </c>
    </row>
    <row r="54">
      <c r="A54" t="s" s="0">
        <v>242</v>
      </c>
      <c r="B54" t="s" s="0">
        <v>243</v>
      </c>
      <c r="C54" t="s" s="0">
        <v>244</v>
      </c>
      <c r="D54" t="s" s="0">
        <v>65</v>
      </c>
      <c r="E54" t="s" s="0">
        <v>222</v>
      </c>
      <c r="F54" t="s" s="0">
        <v>245</v>
      </c>
      <c r="G54" t="s" s="0">
        <v>246</v>
      </c>
      <c r="H54" t="s" s="0">
        <v>253</v>
      </c>
      <c r="I54" t="s" s="0">
        <v>40</v>
      </c>
      <c r="J54" t="s" s="0">
        <v>50</v>
      </c>
      <c r="K54" t="s">
        <v>50</v>
      </c>
      <c r="L54" t="s">
        <v>50</v>
      </c>
      <c r="M54" s="3">
        <f>IFERROR(K54/J54,0)</f>
      </c>
      <c r="N54" t="s">
        <v>70</v>
      </c>
      <c r="O54" t="s">
        <v>247</v>
      </c>
      <c r="P54" t="s">
        <v>50</v>
      </c>
      <c r="Q54" t="s">
        <v>50</v>
      </c>
      <c r="R54" t="s">
        <v>50</v>
      </c>
      <c r="S54" t="s">
        <v>34</v>
      </c>
      <c r="T54" t="n" s="2">
        <v>8.8</v>
      </c>
      <c r="U54" t="s">
        <v>51</v>
      </c>
      <c r="V54" t="s">
        <v>51</v>
      </c>
      <c r="W54" t="s">
        <v>51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2025-12-09T03:25:22Z</dcterms:created>
  <dc:creator>Apache POI</dc:creator>
</cp:coreProperties>
</file>