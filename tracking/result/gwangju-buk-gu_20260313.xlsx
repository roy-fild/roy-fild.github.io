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<sst xmlns="http://schemas.openxmlformats.org/spreadsheetml/2006/main" count="7692" uniqueCount="1614">
  <si>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</si>
  <si>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</si>
  <si>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</si>
  <si>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</si>
  <si>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</si>
  <si>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</si>
  <si>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</si>
  <si>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</si>
  <si>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</si>
  <si>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</si>
  <si>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</si>
  <si>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</si>
  <si>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</si>
  <si>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</si>
  <si>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</si>
  <si>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</si>
  <si>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</si>
  <si>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</si>
  <si>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</si>
  <si>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</si>
  <si>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</si>
  <si>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</si>
  <si>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</si>
  <si>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</si>
  <si>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</si>
  <si>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</si>
  <si>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</si>
  <si>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</si>
  <si>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</si>
  <si>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</si>
  <si>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</si>
  <si>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</si>
  <si>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</si>
  <si>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</si>
  <si>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72</t>
  </si>
  <si>
    <t>3</t>
  </si>
  <si>
    <t>106동(7/25)</t>
  </si>
  <si>
    <t>내부리모델링, 확장형, 수리없이입주가.전망최상.조정가</t>
  </si>
  <si>
    <t>-22.6%</t>
  </si>
  <si>
    <t>-</t>
  </si>
  <si>
    <t>68</t>
  </si>
  <si>
    <t>89</t>
  </si>
  <si>
    <t>2</t>
  </si>
  <si>
    <t>107동(중/25)</t>
  </si>
  <si>
    <t>조정가능 넓은동간 이쁜단지조경뷰 숲세권 단열필름 줄눈 탄성시공</t>
  </si>
  <si>
    <t>-17.0%</t>
  </si>
  <si>
    <t>84</t>
  </si>
  <si>
    <t>111</t>
  </si>
  <si>
    <t>109동(11/23)</t>
  </si>
  <si>
    <t>101동(6/22)</t>
  </si>
  <si>
    <t>조용한숲세권.시스템에어컨2,중문,줄눈,탄성.월세안고조정가</t>
  </si>
  <si>
    <t>-26.9%</t>
  </si>
  <si>
    <t>127.7%</t>
  </si>
  <si>
    <t>112768</t>
  </si>
  <si>
    <t>부영사랑으로</t>
  </si>
  <si>
    <t>2007</t>
  </si>
  <si>
    <t>530</t>
  </si>
  <si>
    <t>117</t>
  </si>
  <si>
    <t>37</t>
  </si>
  <si>
    <t>0</t>
  </si>
  <si>
    <t>104동(8/11)</t>
  </si>
  <si>
    <t>급매산조망 안방붙박이장 본촌초 지산중인접 입주일협의</t>
  </si>
  <si>
    <t>109940</t>
  </si>
  <si>
    <t>용두</t>
  </si>
  <si>
    <t>이안광주첨단</t>
  </si>
  <si>
    <t>2017</t>
  </si>
  <si>
    <t>59</t>
  </si>
  <si>
    <t>80A</t>
  </si>
  <si>
    <t>79</t>
  </si>
  <si>
    <t>101동(6/20)</t>
  </si>
  <si>
    <t>108동(18/18)</t>
  </si>
  <si>
    <t>＇급＇ 입구동편리  일조최상 동간거리넓음 보일러교체 내부컨디션최상 남향</t>
  </si>
  <si>
    <t>-30.7%</t>
  </si>
  <si>
    <t>425.0%</t>
  </si>
  <si>
    <t>112C</t>
  </si>
  <si>
    <t>104동(13/17)</t>
  </si>
  <si>
    <t>급매앞쪽트임,예쁜중문,보일러용량업교체,입주일맞춰드림.</t>
  </si>
  <si>
    <t>-36.6%</t>
  </si>
  <si>
    <t>113D</t>
  </si>
  <si>
    <t>112동(7/22)</t>
  </si>
  <si>
    <t>입구동, D타입,내부상태  최상,중문</t>
  </si>
  <si>
    <t>-37.5%</t>
  </si>
  <si>
    <t>113A</t>
  </si>
  <si>
    <t>4</t>
  </si>
  <si>
    <t>103동(5/12)</t>
  </si>
  <si>
    <t>A타입 초급매 관리 매우 최상 중문줄눈탄성 전체LED전등</t>
  </si>
  <si>
    <t>-34.3%</t>
  </si>
  <si>
    <t>113B</t>
  </si>
  <si>
    <t>5</t>
  </si>
  <si>
    <t>104동(10/17)</t>
  </si>
  <si>
    <t>B타입,가벽제거,넓은 거실,일조권풍부,내부상태 좋음</t>
  </si>
  <si>
    <t>-34.8%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</si>
  <si>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</si>
  <si>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</si>
  <si>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</si>
  <si>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</si>
  <si>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</si>
  <si>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</si>
  <si>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</si>
  <si>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</si>
  <si>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</si>
  <si>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120269</t>
  </si>
  <si>
    <t>첨단진아리채</t>
  </si>
  <si>
    <t>2020</t>
  </si>
  <si>
    <t>750</t>
  </si>
  <si>
    <t>109</t>
  </si>
  <si>
    <t>109동(23/23)</t>
  </si>
  <si>
    <t>층간소음 걱정없는 탑층 내부관리 최상 매매가협의</t>
  </si>
  <si>
    <t>-28.2%</t>
  </si>
  <si>
    <t>147331</t>
  </si>
  <si>
    <t>프라임시티서희스타힐스</t>
  </si>
  <si>
    <t>2024</t>
  </si>
  <si>
    <t>414</t>
  </si>
  <si>
    <t>94</t>
  </si>
  <si>
    <t>34</t>
  </si>
  <si>
    <t>204동(7/22)</t>
  </si>
  <si>
    <t>남향,에어컨4대,중문,줄눈,뷰좋음,주방창큼,</t>
  </si>
  <si>
    <t>0.7%</t>
  </si>
  <si>
    <t>203동(13/21)</t>
  </si>
  <si>
    <t>앞동,시스템에어컨4대,줄눈,탄성,햇살가득한집</t>
  </si>
  <si>
    <t>-9.9%</t>
  </si>
  <si>
    <t>144946</t>
  </si>
  <si>
    <t>센트럴시티서희스타힐스</t>
  </si>
  <si>
    <t>402</t>
  </si>
  <si>
    <t>31</t>
  </si>
  <si>
    <t>105동(중/19)</t>
  </si>
  <si>
    <t>로열층뷰최고빠른입주 아침 햇살 가득한 4베이, 줄눈탄성에어컨3대</t>
  </si>
  <si>
    <t>-2.0%</t>
  </si>
  <si>
    <t>102</t>
  </si>
  <si>
    <t>105동(10/19)</t>
  </si>
  <si>
    <t>시에4대.실링팬.신용공원예정조망.매매가조율가.입주일협의</t>
  </si>
  <si>
    <t>103동(11/21)</t>
  </si>
  <si>
    <t>102동(고/23)</t>
  </si>
  <si>
    <t>전망 일조권 아주 좋음 각방 시스템 에어컨 있음</t>
  </si>
  <si>
    <t>-9.2%</t>
  </si>
  <si>
    <t>28.8%</t>
  </si>
  <si>
    <t>16628</t>
  </si>
  <si>
    <t>양산타운</t>
  </si>
  <si>
    <t>1998</t>
  </si>
  <si>
    <t>675</t>
  </si>
  <si>
    <t>29</t>
  </si>
  <si>
    <t>91</t>
  </si>
  <si>
    <t>복|3|2</t>
  </si>
  <si>
    <t>102동(9/20)</t>
  </si>
  <si>
    <t>싱크대 전등 보일러 도배 장판 빔 즉시입주가</t>
  </si>
  <si>
    <t>-39.4%</t>
  </si>
  <si>
    <t>165679</t>
  </si>
  <si>
    <t>신용</t>
  </si>
  <si>
    <t>힐스테이트신용더리버</t>
  </si>
  <si>
    <t>1647</t>
  </si>
  <si>
    <t>74</t>
  </si>
  <si>
    <t>98B</t>
  </si>
  <si>
    <t>103</t>
  </si>
  <si>
    <t>24</t>
  </si>
  <si>
    <t>101동(15/19)</t>
  </si>
  <si>
    <t>시스템에어컨4대.앞동 조망권,일조권우수함,전철역,초등학교 가까움</t>
  </si>
  <si>
    <t>51.4%</t>
  </si>
  <si>
    <t>109C</t>
  </si>
  <si>
    <t>104동(중/26)</t>
  </si>
  <si>
    <t>내부아주깨끗,시스템에어컨4대,비대,음식물처리기,중문</t>
  </si>
  <si>
    <t>31.8%</t>
  </si>
  <si>
    <t>-63.6%</t>
  </si>
  <si>
    <t>109A</t>
  </si>
  <si>
    <t>115동(16/29)</t>
  </si>
  <si>
    <t>115동(12/29)</t>
  </si>
  <si>
    <t xml:space="preserve">단지뷰 최고 동간거리 넓음 </t>
  </si>
  <si>
    <t>27.3%</t>
  </si>
  <si>
    <t>-57.1%</t>
  </si>
  <si>
    <t>110B</t>
  </si>
  <si>
    <t>119동(4/21)</t>
  </si>
  <si>
    <t>107동(고/29)</t>
  </si>
  <si>
    <t>넓은드레스룸 B형 선호도1등에어컨4대 음식물처리기 중문 조정가</t>
  </si>
  <si>
    <t>-51.9%</t>
  </si>
  <si>
    <t>110D</t>
  </si>
  <si>
    <t>106동(중/27)</t>
  </si>
  <si>
    <t>106동(17/27)</t>
  </si>
  <si>
    <t>강변전망좋음,시스템에어컨5대,내부상태최상,입주협의</t>
  </si>
  <si>
    <t>30.7%</t>
  </si>
  <si>
    <t>-73.0%</t>
  </si>
  <si>
    <t>104</t>
  </si>
  <si>
    <t>134A</t>
  </si>
  <si>
    <t>계|4|2</t>
  </si>
  <si>
    <t>101동(14/19)</t>
  </si>
  <si>
    <t>115동(19/29)</t>
  </si>
  <si>
    <t>즉시입주가 맨앞동 뻥뷰조망 빌트인 시스템에어컨6대 음식물처리기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</si>
  <si>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</si>
  <si>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</si>
  <si>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</si>
  <si>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</si>
  <si>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</si>
  <si>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</si>
  <si>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</si>
  <si>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</si>
  <si>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</si>
  <si>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</si>
  <si>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58</t>
  </si>
  <si>
    <t>108동(6/20)</t>
  </si>
  <si>
    <t>남향 조용한동 내부상태 깨끗 즉시 입주가</t>
  </si>
  <si>
    <t>계|3|1</t>
  </si>
  <si>
    <t>112동(18/20)</t>
  </si>
  <si>
    <t>＇급매＇ 내부올리모델링 깔끔 전망좋음 화장실 보일러교체 조정가</t>
  </si>
  <si>
    <t>-31.0%</t>
  </si>
  <si>
    <t>80B</t>
  </si>
  <si>
    <t>117동(18/18)</t>
  </si>
  <si>
    <t>120동(8/18)</t>
  </si>
  <si>
    <t>탑층 남향 올리모델링 새시제외 앞뒤전망최고</t>
  </si>
  <si>
    <t>-26.2%</t>
  </si>
  <si>
    <t>220.0%</t>
  </si>
  <si>
    <t>81</t>
  </si>
  <si>
    <t>77</t>
  </si>
  <si>
    <t>115동(7/15)</t>
  </si>
  <si>
    <t>가경 좋음 남향 내부수리(화장실.싱크대.보일러)</t>
  </si>
  <si>
    <t>-29.0%</t>
  </si>
  <si>
    <t>80C</t>
  </si>
  <si>
    <t>106동(10/20)</t>
  </si>
  <si>
    <t>입구동 싱크대 신발장 전등교체 전망좋음 내부깨끗 초등바로옆 지하주차장연결</t>
  </si>
  <si>
    <t>80D</t>
  </si>
  <si>
    <t>111동(20/20)</t>
  </si>
  <si>
    <t>＇급＇ 입주협의 탁트인전망 남향 종일햇볕 최상층 층간소음없음 수리필요</t>
  </si>
  <si>
    <t>-32.4%</t>
  </si>
  <si>
    <t>104543</t>
  </si>
  <si>
    <t>한양수자인리버뷰</t>
  </si>
  <si>
    <t>2014</t>
  </si>
  <si>
    <t>1254</t>
  </si>
  <si>
    <t>65</t>
  </si>
  <si>
    <t>84A</t>
  </si>
  <si>
    <t>116동(5/25)</t>
  </si>
  <si>
    <t>4베이 A타입 구조조망아주좋음 강변산책로인접 교통생활권편리 전세안고가</t>
  </si>
  <si>
    <t>-29.3%</t>
  </si>
  <si>
    <t>84B</t>
  </si>
  <si>
    <t>114동(4/25)</t>
  </si>
  <si>
    <t>추천.조정가.내부컨디션 좋음. 생활권 편리.</t>
  </si>
  <si>
    <t>107A</t>
  </si>
  <si>
    <t>106동(6/25)</t>
  </si>
  <si>
    <t>107동(7/25)</t>
  </si>
  <si>
    <t xml:space="preserve">급매 일조 전망좋음 내부깨끗 강변산책로인접 입주일협의가,전세안고가 </t>
  </si>
  <si>
    <t>318.2%</t>
  </si>
  <si>
    <t>108B</t>
  </si>
  <si>
    <t>102동(8/15)</t>
  </si>
  <si>
    <t>B타입 강변전망최상 2024년화이트톤올리모델링 내부매우깨끗 입주일협의가</t>
  </si>
  <si>
    <t>-7.6%</t>
  </si>
  <si>
    <t>108C</t>
  </si>
  <si>
    <t>106동(16/25)</t>
  </si>
  <si>
    <t>107동(12/25)</t>
  </si>
  <si>
    <t>조정가구조조망좋음,내부깨끗,강변산책로인접,초중고인접,전세안고가.</t>
  </si>
  <si>
    <t>200.0%</t>
  </si>
  <si>
    <t>104895</t>
  </si>
  <si>
    <t>제일풍경채리버파크</t>
  </si>
  <si>
    <t>613</t>
  </si>
  <si>
    <t>92A</t>
  </si>
  <si>
    <t>73</t>
  </si>
  <si>
    <t>101동(4/25)</t>
  </si>
  <si>
    <t>102동(23/25)</t>
  </si>
  <si>
    <t>역세권예정 남향 초등학교 인근 중고교 넓은 침실</t>
  </si>
  <si>
    <t>-25.2%</t>
  </si>
  <si>
    <t>142.2%</t>
  </si>
  <si>
    <t>91B</t>
  </si>
  <si>
    <t xml:space="preserve">역세권예정 인테리어 4베이 단지초등학교 로얄동 수납매우좋음 </t>
  </si>
  <si>
    <t>-18.7%</t>
  </si>
  <si>
    <t>109B</t>
  </si>
  <si>
    <t>계|4|1</t>
  </si>
  <si>
    <t>108동(4/15)</t>
  </si>
  <si>
    <t xml:space="preserve">조정 가운데라인 단지초교 5분거리 중고 4베이 침실 4개구조 </t>
  </si>
  <si>
    <t>-29.2%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</si>
  <si>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</si>
  <si>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</si>
  <si>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</si>
  <si>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</si>
  <si>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</si>
  <si>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</si>
  <si>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</si>
  <si>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</si>
  <si>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</si>
  <si>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78</t>
  </si>
  <si>
    <t>109동(9/25)</t>
  </si>
  <si>
    <t>109동(7/25)</t>
  </si>
  <si>
    <t>급매 조정가 4베이 남향 확트인조망 부분리모델링 내부아주깨끗</t>
  </si>
  <si>
    <t>110A</t>
  </si>
  <si>
    <t>102동(5/19)</t>
  </si>
  <si>
    <t>맨앞동 남향 확트인조망 부분리모델링 내부아주깨끗 초중고인접</t>
  </si>
  <si>
    <t>-42.5%</t>
  </si>
  <si>
    <t>111동(4/25)</t>
  </si>
  <si>
    <t>4베이 B타입 부분리모델링 단지내조망좋음 내부아주깨끗 초중고인접</t>
  </si>
  <si>
    <t>104334</t>
  </si>
  <si>
    <t>광주첨단2지구호반베르디움1단지</t>
  </si>
  <si>
    <t>635</t>
  </si>
  <si>
    <t>112A</t>
  </si>
  <si>
    <t>36</t>
  </si>
  <si>
    <t>104동(4/25)</t>
  </si>
  <si>
    <t>정원전망 좋음 맨앞동 내부아주깨끗 조정가</t>
  </si>
  <si>
    <t>-36.3%</t>
  </si>
  <si>
    <t>115B</t>
  </si>
  <si>
    <t>101동(5/18)</t>
  </si>
  <si>
    <t>조정가 4베이 B타입 남향 가운데라인 내부인테리어 초중고근접</t>
  </si>
  <si>
    <t>-34.2%</t>
  </si>
  <si>
    <t>109동(13/25)</t>
  </si>
  <si>
    <t>104동(10/25)</t>
  </si>
  <si>
    <t>급매,조정가,남향,일조.조망좋음,방4,초.중.고인접,지하철2호선예정역인접</t>
  </si>
  <si>
    <t>-38.3%</t>
  </si>
  <si>
    <t>269.0%</t>
  </si>
  <si>
    <t>105373</t>
  </si>
  <si>
    <t>광주첨단2지구사랑으로부영</t>
  </si>
  <si>
    <t>2013</t>
  </si>
  <si>
    <t>1772</t>
  </si>
  <si>
    <t>60</t>
  </si>
  <si>
    <t>215</t>
  </si>
  <si>
    <t>101동(고/25)</t>
  </si>
  <si>
    <t>109동(중/25)</t>
  </si>
  <si>
    <t>강추.조정가 도배 전등교체 교통 생활권편리함 초품아 입주협의가</t>
  </si>
  <si>
    <t>-38.1%</t>
  </si>
  <si>
    <t>518.5%</t>
  </si>
  <si>
    <t>108</t>
  </si>
  <si>
    <t>114동(6/21)</t>
  </si>
  <si>
    <t>급매 강추 조정가 남향 트인뷰최고 도배 등교체 내부깨끗 초품아</t>
  </si>
  <si>
    <t>104335</t>
  </si>
  <si>
    <t>호반베르디움2단지</t>
  </si>
  <si>
    <t>728</t>
  </si>
  <si>
    <t>25</t>
  </si>
  <si>
    <t>203동(4/18)</t>
  </si>
  <si>
    <t xml:space="preserve">조정가 4베이A타입 방4개 맨앞동 남향 일조최고 공원도서관접 </t>
  </si>
  <si>
    <t>-27.8%</t>
  </si>
  <si>
    <t>201동(6/18)</t>
  </si>
  <si>
    <t>조정가 4베이B타입 남향 가운데라인 화이트톤리모델링 시스템에어콘5 맨앞동</t>
  </si>
  <si>
    <t>-24.6%</t>
  </si>
  <si>
    <t>106987</t>
  </si>
  <si>
    <t>첨단자이2단지</t>
  </si>
  <si>
    <t>2012</t>
  </si>
  <si>
    <t>546</t>
  </si>
  <si>
    <t>114A</t>
  </si>
  <si>
    <t>32</t>
  </si>
  <si>
    <t>201동(13/22)</t>
  </si>
  <si>
    <t>남향 가경좋음 집주인 거주로 내부상태 양호</t>
  </si>
  <si>
    <t>-29.4%</t>
  </si>
  <si>
    <t>116B</t>
  </si>
  <si>
    <t>203동(16/18)</t>
  </si>
  <si>
    <t>203동, 전망확트임, 일조권좋음, 내부일부수리, 각방매우큼</t>
  </si>
  <si>
    <t>-31.1%</t>
  </si>
  <si>
    <t>103168</t>
  </si>
  <si>
    <t>첨단자이1단지</t>
  </si>
  <si>
    <t>2010</t>
  </si>
  <si>
    <t>594</t>
  </si>
  <si>
    <t>110동(12/15)</t>
  </si>
  <si>
    <t>내부깨끗 공용화장실 부분수리 가운데라인 남향 내년11월12월 입주가능</t>
  </si>
  <si>
    <t>-33.2%</t>
  </si>
  <si>
    <t>110동(15/15)</t>
  </si>
  <si>
    <t>옥탑, 탁트인 뻥뷰, 일조, 전망최고, 내부매우깨끗.</t>
  </si>
  <si>
    <t>-20.3%</t>
  </si>
  <si>
    <t>115</t>
  </si>
  <si>
    <t>조정가,정남향 ,각방구조,조망 좋음,부분리모델링.2호선공사중최근접</t>
  </si>
  <si>
    <t>-34.6%</t>
  </si>
  <si>
    <t>137</t>
  </si>
  <si>
    <t>165</t>
  </si>
  <si>
    <t>104동(13/15)</t>
  </si>
  <si>
    <t>104동(중/15)</t>
  </si>
  <si>
    <t>4베이 가경가시거리 양호 로얄동 주차편리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</si>
  <si>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</si>
  <si>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</si>
  <si>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</si>
  <si>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</si>
  <si>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</si>
  <si>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</si>
  <si>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일신1차</t>
  </si>
  <si>
    <t>1996</t>
  </si>
  <si>
    <t>77B</t>
  </si>
  <si>
    <t>27</t>
  </si>
  <si>
    <t>102동(12/20)</t>
  </si>
  <si>
    <t>-21.5%</t>
  </si>
  <si>
    <t>77A</t>
  </si>
  <si>
    <t>77C</t>
  </si>
  <si>
    <t>102동(10/20)</t>
  </si>
  <si>
    <t xml:space="preserve"> 가경 조망 좋음, 내부 깨끗, 최근 도배 장판 시공,전세안고가</t>
  </si>
  <si>
    <t>222.0%</t>
  </si>
  <si>
    <t>100922</t>
  </si>
  <si>
    <t>일신2차</t>
  </si>
  <si>
    <t>1997</t>
  </si>
  <si>
    <t>540</t>
  </si>
  <si>
    <t>13</t>
  </si>
  <si>
    <t>203동(8/16)</t>
  </si>
  <si>
    <t>202동(4/15)</t>
  </si>
  <si>
    <t>올리모델링샤시제외 산뷰 초중교인접 생활권편리 즉시입주가</t>
  </si>
  <si>
    <t>-10.6%</t>
  </si>
  <si>
    <t>47.5%</t>
  </si>
  <si>
    <t>복|2|2</t>
  </si>
  <si>
    <t>202동(5/15)</t>
  </si>
  <si>
    <t>가경 가시거리좋음 내부아주깨끗  협의입주가 조정가</t>
  </si>
  <si>
    <t>-21.8%</t>
  </si>
  <si>
    <t>5236</t>
  </si>
  <si>
    <t>우미</t>
  </si>
  <si>
    <t>1992</t>
  </si>
  <si>
    <t>444</t>
  </si>
  <si>
    <t>70</t>
  </si>
  <si>
    <t>복|2|1</t>
  </si>
  <si>
    <t>22</t>
  </si>
  <si>
    <t>103동(20/20)</t>
  </si>
  <si>
    <t>GoHomes I 고민고민하지마 I 시원한뷰 I 최多보有</t>
  </si>
  <si>
    <t>-36.0%</t>
  </si>
  <si>
    <t>조정가,부분리모델링도배,마루,화장실,안방붙박이장,등 맨앞동 정남향</t>
  </si>
  <si>
    <t>-2.1%</t>
  </si>
  <si>
    <t>11.3%</t>
  </si>
  <si>
    <t>16624</t>
  </si>
  <si>
    <t>호반리젠시빌2차</t>
  </si>
  <si>
    <t>2000</t>
  </si>
  <si>
    <t>612</t>
  </si>
  <si>
    <t>53</t>
  </si>
  <si>
    <t>26</t>
  </si>
  <si>
    <t>205동(9/17)</t>
  </si>
  <si>
    <t>203동(17/17)</t>
  </si>
  <si>
    <t>남향 가운데라인, 탑층,전체리모델링필요, 가격조정가능</t>
  </si>
  <si>
    <t>-32.8%</t>
  </si>
  <si>
    <t>19228</t>
  </si>
  <si>
    <t>GS그린자이1단지</t>
  </si>
  <si>
    <t>2006</t>
  </si>
  <si>
    <t>467</t>
  </si>
  <si>
    <t>105동(24/27)</t>
  </si>
  <si>
    <t>일조량 풍부하고 조망좋음, 숲세권 등산로인접, 생활권편리 조정가</t>
  </si>
  <si>
    <t>105동(15/27)</t>
  </si>
  <si>
    <t>일조 조망최상 화이트계열 리모델링 싱크대,보일러26.1교체 등산로인접</t>
  </si>
  <si>
    <t>112</t>
  </si>
  <si>
    <t>140</t>
  </si>
  <si>
    <t>101동(10/20)</t>
  </si>
  <si>
    <t>4베이  남향  숲세권 등산로인접</t>
  </si>
  <si>
    <t>133</t>
  </si>
  <si>
    <t>162</t>
  </si>
  <si>
    <t>103동(7/19)</t>
  </si>
  <si>
    <t>일조 조망좋은 남향 기본형 내부깨끗 숲세권 등산로인접 국공립어린이집인접</t>
  </si>
  <si>
    <t>19229</t>
  </si>
  <si>
    <t>GS그린자이2단지</t>
  </si>
  <si>
    <t>506</t>
  </si>
  <si>
    <t>116</t>
  </si>
  <si>
    <t>43</t>
  </si>
  <si>
    <t>206동(23/23)</t>
  </si>
  <si>
    <t>남향 탑층 층고높음 조망권 최고   초등학교 인접</t>
  </si>
  <si>
    <t>-30.4%</t>
  </si>
  <si>
    <t>139</t>
  </si>
  <si>
    <t>204동(14/23)</t>
  </si>
  <si>
    <t>153</t>
  </si>
  <si>
    <t>185</t>
  </si>
  <si>
    <t>201동(12/23)</t>
  </si>
  <si>
    <t>201동(21/23)</t>
  </si>
  <si>
    <t>201동 급매 귀한대형평수 전망최상 내부깨끗 초교 등산로 인접</t>
  </si>
  <si>
    <t>5240</t>
  </si>
  <si>
    <t>청암</t>
  </si>
  <si>
    <t>492</t>
  </si>
  <si>
    <t>복|3|1</t>
  </si>
  <si>
    <t>14</t>
  </si>
  <si>
    <t>80</t>
  </si>
  <si>
    <t>102동(9/15)</t>
  </si>
  <si>
    <t>남향 가운데라인 부분수리 내부깨끗전세안고 가</t>
  </si>
  <si>
    <t>-33.3%</t>
  </si>
  <si>
    <t>102460</t>
  </si>
  <si>
    <t>호반리젠시빌1차</t>
  </si>
  <si>
    <t>576</t>
  </si>
  <si>
    <t>54</t>
  </si>
  <si>
    <t>16</t>
  </si>
  <si>
    <t>101동(6/15)</t>
  </si>
  <si>
    <t>101동(15/15)</t>
  </si>
  <si>
    <t>내부리모델링 정남향 호수전경 무등산전경 일조 전망최상 지하철2호선예정</t>
  </si>
  <si>
    <t>15788</t>
  </si>
  <si>
    <t>연제</t>
  </si>
  <si>
    <t>광명2차</t>
  </si>
  <si>
    <t>369</t>
  </si>
  <si>
    <t>201동(14/20)</t>
  </si>
  <si>
    <t>201동(5/20)</t>
  </si>
  <si>
    <t>초급매, 뷰 좋음, 수리 요함, 양산초부근</t>
  </si>
  <si>
    <t>-37.6%</t>
  </si>
  <si>
    <t>662.5%</t>
  </si>
  <si>
    <t>104804</t>
  </si>
  <si>
    <t>한국아델리움</t>
  </si>
  <si>
    <t>2001</t>
  </si>
  <si>
    <t>352</t>
  </si>
  <si>
    <t>205동(15/17)</t>
  </si>
  <si>
    <t>내부깨끗,조망최상,문화센터 호수공원산책로 인접,입주일가격협의조정가능</t>
  </si>
  <si>
    <t>-33.9%</t>
  </si>
  <si>
    <t>15791</t>
  </si>
  <si>
    <t>새한</t>
  </si>
  <si>
    <t>480</t>
  </si>
  <si>
    <t>21</t>
  </si>
  <si>
    <t>101동(7/16)</t>
  </si>
  <si>
    <t>입주일 및 매매가 조정가능 내부깨끗 일조 좋음전세금7500만원 안고가</t>
  </si>
  <si>
    <t>-30.8%</t>
  </si>
  <si>
    <t>9886</t>
  </si>
  <si>
    <t>현대</t>
  </si>
  <si>
    <t>760</t>
  </si>
  <si>
    <t>71</t>
  </si>
  <si>
    <t>48</t>
  </si>
  <si>
    <t>99</t>
  </si>
  <si>
    <t>103동(4/20)</t>
  </si>
  <si>
    <t>가시거리 일조 조망 양호 남향 내부부분 수리  문화센타 호수공원접</t>
  </si>
  <si>
    <t>129</t>
  </si>
  <si>
    <t>151</t>
  </si>
  <si>
    <t>105동(19/20)</t>
  </si>
  <si>
    <t>가운데라인,일조조망최상,외부샷시교체,즉시입주가능,가격협의조정가능</t>
  </si>
  <si>
    <t>163</t>
  </si>
  <si>
    <t>191</t>
  </si>
  <si>
    <t>계|5|2</t>
  </si>
  <si>
    <t>102동(20/20)</t>
  </si>
  <si>
    <t>남향 입주일협의</t>
  </si>
  <si>
    <t>25026</t>
  </si>
  <si>
    <t>연제2차대주피오레</t>
  </si>
  <si>
    <t>353</t>
  </si>
  <si>
    <t>41</t>
  </si>
  <si>
    <t>205동(9/10)</t>
  </si>
  <si>
    <t>가운데라인 남향 일조권좋음 전체확장형 가격조정가</t>
  </si>
  <si>
    <t>-38.6%</t>
  </si>
  <si>
    <t>19525</t>
  </si>
  <si>
    <t>연제1차대주피오레</t>
  </si>
  <si>
    <t>510</t>
  </si>
  <si>
    <t>113</t>
  </si>
  <si>
    <t>101동(4/20)</t>
  </si>
  <si>
    <t>104동(19/19)</t>
  </si>
  <si>
    <t xml:space="preserve">급매   초중인접 일조좋음 입주일 협의가능  </t>
  </si>
  <si>
    <t>-28.4%</t>
  </si>
  <si>
    <t>-2020.0%</t>
  </si>
  <si>
    <t>119614</t>
  </si>
  <si>
    <t>힐스테이트연제</t>
  </si>
  <si>
    <t>1196</t>
  </si>
  <si>
    <t>82</t>
  </si>
  <si>
    <t>105</t>
  </si>
  <si>
    <t>172</t>
  </si>
  <si>
    <t>103동(6/24)</t>
  </si>
  <si>
    <t>남향 에어컨3대 조망좋음 4BAY 어린이수영장인접  내부깨끗함</t>
  </si>
  <si>
    <t>-29.1%</t>
  </si>
  <si>
    <t>117동(12/15)</t>
  </si>
  <si>
    <t>107동(10/24)</t>
  </si>
  <si>
    <t>일조조망최상,내부깨끗,초중인접,주차편한동.(전세안고)</t>
  </si>
  <si>
    <t>109동(5/15)</t>
  </si>
  <si>
    <t>급.조정가.산조망.초중인접.내부깨끗.조용한동</t>
  </si>
  <si>
    <t>106687</t>
  </si>
  <si>
    <t>연제대광로제비앙</t>
  </si>
  <si>
    <t>375</t>
  </si>
  <si>
    <t>119</t>
  </si>
  <si>
    <t>57</t>
  </si>
  <si>
    <t>102동(4/14)</t>
  </si>
  <si>
    <t>106동(13/13)</t>
  </si>
  <si>
    <t>3룸 2욕실 I 주차 편리 I 남향 배치 따뜻한 실내 I 조용한 동</t>
  </si>
  <si>
    <t>-23.1%</t>
  </si>
  <si>
    <t>341.4%</t>
  </si>
  <si>
    <t>143</t>
  </si>
  <si>
    <t>빠른 입주가능 앞동 막힘없이 일조 조망 좋음 내부깨끗 매매가조정가능</t>
  </si>
  <si>
    <t>16605</t>
  </si>
  <si>
    <t>동림</t>
  </si>
  <si>
    <t>동림푸른마을주공1단지</t>
  </si>
  <si>
    <t>357</t>
  </si>
  <si>
    <t>101동(17/20)</t>
  </si>
  <si>
    <t>숲세권.내부깨끗.입주일 협의가능</t>
  </si>
  <si>
    <t>-19.8%</t>
  </si>
  <si>
    <t>4963</t>
  </si>
  <si>
    <t>동림푸른마을주공3단지</t>
  </si>
  <si>
    <t>1514</t>
  </si>
  <si>
    <t>46</t>
  </si>
  <si>
    <t>302동(16/20)</t>
  </si>
  <si>
    <t>정남향 앞동 내부올리모델링 영산강조망 투자적합 월세안고가능</t>
  </si>
  <si>
    <t>314동(20/20)</t>
  </si>
  <si>
    <t>내부수리된 집, 조망 좋음,  생활권 매우 좋은 단지</t>
  </si>
  <si>
    <t>-30.6%</t>
  </si>
  <si>
    <t>757.1%</t>
  </si>
  <si>
    <t>4961</t>
  </si>
  <si>
    <t>삼호가든유일(유일)</t>
  </si>
  <si>
    <t>2005</t>
  </si>
  <si>
    <t>365</t>
  </si>
  <si>
    <t>108동(14/15)</t>
  </si>
  <si>
    <t>-21.3%</t>
  </si>
  <si>
    <t>4959</t>
  </si>
  <si>
    <t>삼호가든유일(삼호)</t>
  </si>
  <si>
    <t>628</t>
  </si>
  <si>
    <t>104B</t>
  </si>
  <si>
    <t>30</t>
  </si>
  <si>
    <t>104동(6/15)</t>
  </si>
  <si>
    <t>교통생활편리 운안산등산로접,영산강산책로인접 내부깨끗</t>
  </si>
  <si>
    <t>-23.4%</t>
  </si>
  <si>
    <t>124</t>
  </si>
  <si>
    <t>105동(7/15)</t>
  </si>
  <si>
    <t>내부깨끗,운암산뷰.영산강산책로접,교통편리입주일협의</t>
  </si>
  <si>
    <t>104A</t>
  </si>
  <si>
    <t>102동(14/15)</t>
  </si>
  <si>
    <t>급매,내부깨끗,운암산뷰,교통편리,입주일협의</t>
  </si>
  <si>
    <t>8090</t>
  </si>
  <si>
    <t>1991</t>
  </si>
  <si>
    <t>600</t>
  </si>
  <si>
    <t>81B</t>
  </si>
  <si>
    <t>102동(19/20)</t>
  </si>
  <si>
    <t>-31.8%</t>
  </si>
  <si>
    <t>81A</t>
  </si>
  <si>
    <t>105동(4/20)</t>
  </si>
  <si>
    <t>가운데라인 씽크대 화장실 도배  일부수리  교통 편리 전자계약서가능</t>
  </si>
  <si>
    <t>4975</t>
  </si>
  <si>
    <t>동림푸른마을주공4단지</t>
  </si>
  <si>
    <t>1160</t>
  </si>
  <si>
    <t>86</t>
  </si>
  <si>
    <t>413동(6/20)</t>
  </si>
  <si>
    <t>내부깨끗, 작은방 확장</t>
  </si>
  <si>
    <t>-16.5%</t>
  </si>
  <si>
    <t>414동(9/15)</t>
  </si>
  <si>
    <t xml:space="preserve">내부상태 좋음,막힘 없이 트인 뷰, 남향, 기본형, 엘리베이터 연결 동 </t>
  </si>
  <si>
    <t>-38.0%</t>
  </si>
  <si>
    <t>406동(4/20)</t>
  </si>
  <si>
    <t>남향, 산책로 근접 동, 맨발 걷기등 뒷산이 접해 운동하기 좋은 동입니다</t>
  </si>
  <si>
    <t>-42.0%</t>
  </si>
  <si>
    <t>107B</t>
  </si>
  <si>
    <t>403동(5/20)</t>
  </si>
  <si>
    <t>404동(9/20)</t>
  </si>
  <si>
    <t>일조조망양호 입구동 산책로접 내부깨끗 입주일 협의가능</t>
  </si>
  <si>
    <t>-41.8%</t>
  </si>
  <si>
    <t>330.0%</t>
  </si>
  <si>
    <t>25544</t>
  </si>
  <si>
    <t>삼라마이더스</t>
  </si>
  <si>
    <t>250</t>
  </si>
  <si>
    <t>15</t>
  </si>
  <si>
    <t>산책로 초중고인접 생활환경최상 입주날짜협의 내부 일부 리모델링됨 내부깨끗</t>
  </si>
  <si>
    <t>-25.8%</t>
  </si>
  <si>
    <t>112B</t>
  </si>
  <si>
    <t>4951</t>
  </si>
  <si>
    <t>삼익</t>
  </si>
  <si>
    <t>1521</t>
  </si>
  <si>
    <t>52</t>
  </si>
  <si>
    <t>113동(4/20)</t>
  </si>
  <si>
    <t>남향 가운데라인 내부수리  거주교통좋음</t>
  </si>
  <si>
    <t>111동(4/20)</t>
  </si>
  <si>
    <t>내부수리 영산강 뷰 좋음 방1확장 생활권편리</t>
  </si>
  <si>
    <t>102동(18/18)</t>
  </si>
  <si>
    <t xml:space="preserve">내부리모델링 거주 조망좋음 교통 생활권편리 </t>
  </si>
  <si>
    <t>-25.4%</t>
  </si>
  <si>
    <t>126</t>
  </si>
  <si>
    <t>154</t>
  </si>
  <si>
    <t>108동(16/17)</t>
  </si>
  <si>
    <t>107동(11/20)</t>
  </si>
  <si>
    <t>내부수리 정남향 일조좋음 조용한동 내부깨끗 즉시입주가능,조정가</t>
  </si>
  <si>
    <t>117644</t>
  </si>
  <si>
    <t>동림대광로제비앙</t>
  </si>
  <si>
    <t>98A</t>
  </si>
  <si>
    <t>106동(10/25)</t>
  </si>
  <si>
    <t>내부아주깨끗,앞뒤트임,영산강운암산조망좋음,빛고을로출퇴근편리</t>
  </si>
  <si>
    <t>-27.3%</t>
  </si>
  <si>
    <t>225.0%</t>
  </si>
  <si>
    <t>100B</t>
  </si>
  <si>
    <t>108동(9/23)</t>
  </si>
  <si>
    <t>105동(4/25)</t>
  </si>
  <si>
    <t>102동(20/21)</t>
  </si>
  <si>
    <t>급매 남향 일조조망좋음 4베이구조  내부상태좋음 조정가</t>
  </si>
  <si>
    <t>-26.8%</t>
  </si>
  <si>
    <t>136.4%</t>
  </si>
  <si>
    <t>114</t>
  </si>
  <si>
    <t>계|3|3</t>
  </si>
  <si>
    <t>120303</t>
  </si>
  <si>
    <t>운암산하늘채</t>
  </si>
  <si>
    <t>2018</t>
  </si>
  <si>
    <t>922</t>
  </si>
  <si>
    <t>90B1</t>
  </si>
  <si>
    <t>96</t>
  </si>
  <si>
    <t>109동(7/22)</t>
  </si>
  <si>
    <t>급매 조정가 앞뒤확트임 영산강뷰 조망야경최상 주차편리 빛고을로교통편리</t>
  </si>
  <si>
    <t>63</t>
  </si>
  <si>
    <t>89B2</t>
  </si>
  <si>
    <t>108동(10/25)</t>
  </si>
  <si>
    <t>B타입 현재공실 일조풍부 영산강조망 내부아주깨끗 주차편리 출퇴근편리</t>
  </si>
  <si>
    <t>103동(4/25)</t>
  </si>
  <si>
    <t>남향 어린이집 바로앞동 시스템에어컨2 중문 줄눈 내부깨끗 입주일 협의가능</t>
  </si>
  <si>
    <t>-25.9%</t>
  </si>
  <si>
    <t>127090</t>
  </si>
  <si>
    <t>운암</t>
  </si>
  <si>
    <t>중외공원모아미래도</t>
  </si>
  <si>
    <t>2022</t>
  </si>
  <si>
    <t>508</t>
  </si>
  <si>
    <t>88</t>
  </si>
  <si>
    <t>62</t>
  </si>
  <si>
    <t>101동(15/29)</t>
  </si>
  <si>
    <t>앞동 전망좋음 시스템에어컨4대 중문설치됨</t>
  </si>
  <si>
    <t>-12.3%</t>
  </si>
  <si>
    <t>44.6%</t>
  </si>
  <si>
    <t>102동(5/24)</t>
  </si>
  <si>
    <t>105동(19/29)</t>
  </si>
  <si>
    <t xml:space="preserve"> 시스템에어컨3대 줄눈 탄성 단지내국공립유치원 초중교근접 전세3억2천안고</t>
  </si>
  <si>
    <t>-24.9%</t>
  </si>
  <si>
    <t>109.6%</t>
  </si>
  <si>
    <t>5186</t>
  </si>
  <si>
    <t>미라보3차</t>
  </si>
  <si>
    <t>697</t>
  </si>
  <si>
    <t>35</t>
  </si>
  <si>
    <t>305동(8/20)</t>
  </si>
  <si>
    <t>302동(4/20)</t>
  </si>
  <si>
    <t>320.0%</t>
  </si>
  <si>
    <t>136</t>
  </si>
  <si>
    <t>305동(12/20)</t>
  </si>
  <si>
    <t>305동(11/20)</t>
  </si>
  <si>
    <t>184</t>
  </si>
  <si>
    <t>301동(18/18)</t>
  </si>
  <si>
    <t>301동(17/18)</t>
  </si>
  <si>
    <t>5188</t>
  </si>
  <si>
    <t>우성</t>
  </si>
  <si>
    <t>469</t>
  </si>
  <si>
    <t>79A</t>
  </si>
  <si>
    <t>103동(8/20)</t>
  </si>
  <si>
    <t>거주 생활권 편리 무등산 전망으로 일조통풍 좋음</t>
  </si>
  <si>
    <t>106B</t>
  </si>
  <si>
    <t>101동(14/20)</t>
  </si>
  <si>
    <t xml:space="preserve">맨앞동 전망최고 선호동 전등 욕실 싱크대 페인트등 부분리모델링 </t>
  </si>
  <si>
    <t>101동(11/20)</t>
  </si>
  <si>
    <t>내부올리모델링  거주 교통 생활권 좋음 즉시입주가</t>
  </si>
  <si>
    <t>106A</t>
  </si>
  <si>
    <t>107C</t>
  </si>
  <si>
    <t>103동(6/20)</t>
  </si>
  <si>
    <t>급매.남서향, 정원뷰 위치좋음,부분리모델링,조정가,내부깨끗</t>
  </si>
  <si>
    <t>25187</t>
  </si>
  <si>
    <t>남양휴튼</t>
  </si>
  <si>
    <t>392</t>
  </si>
  <si>
    <t>118</t>
  </si>
  <si>
    <t>101동(12/15)</t>
  </si>
  <si>
    <t>거실 작은방1확장 최근 씽크대 도배바닦교체 조정가 수리없이 입주</t>
  </si>
  <si>
    <t>-13.6%</t>
  </si>
  <si>
    <t>107동(12/15)</t>
  </si>
  <si>
    <t>정남향 내부깨끗 부분수리 빠른입주가 조정가</t>
  </si>
  <si>
    <t>161</t>
  </si>
  <si>
    <t>106동(10/15)</t>
  </si>
  <si>
    <t>106동(8/15)</t>
  </si>
  <si>
    <t>남향 거실작은방 확장 내무 깨끗 입주일협의가능</t>
  </si>
  <si>
    <t>187</t>
  </si>
  <si>
    <t>228</t>
  </si>
  <si>
    <t>계|6|3</t>
  </si>
  <si>
    <t>16018</t>
  </si>
  <si>
    <t>우미1차</t>
  </si>
  <si>
    <t>1989</t>
  </si>
  <si>
    <t>468</t>
  </si>
  <si>
    <t>102동(7/13)</t>
  </si>
  <si>
    <t>교통생활편리 초,중교인접 내부부분수리 새시교체  입주일협의 가능</t>
  </si>
  <si>
    <t>55</t>
  </si>
  <si>
    <t>101동(9/13)</t>
  </si>
  <si>
    <t>내부전체리모델링 샷시교체 거주 교통 생활권편리 조정가</t>
  </si>
  <si>
    <t>103동(7/12)</t>
  </si>
  <si>
    <t>급매,교통생활편리 초,중교인접 빠른입주가능</t>
  </si>
  <si>
    <t>-34.5%</t>
  </si>
  <si>
    <t>5174</t>
  </si>
  <si>
    <t>나산</t>
  </si>
  <si>
    <t>478</t>
  </si>
  <si>
    <t>75</t>
  </si>
  <si>
    <t>20</t>
  </si>
  <si>
    <t>101동(5/19)</t>
  </si>
  <si>
    <t>가운데라인  내부부분리모델링 화장실최근수리  정원뷰 화장실2개 일조좋음</t>
  </si>
  <si>
    <t>-4.4%</t>
  </si>
  <si>
    <t>101동(9/19)</t>
  </si>
  <si>
    <t>A타입 전실이 넓어 선호도 좋은 타입  일조좋음 남서향 가운데라인</t>
  </si>
  <si>
    <t>-22.2%</t>
  </si>
  <si>
    <t>125</t>
  </si>
  <si>
    <t>104동(7/16)</t>
  </si>
  <si>
    <t>운암산예쁜정원뷰 내부리모델링 확장형 가운데라인 일조최상 따뜻함</t>
  </si>
  <si>
    <t>171</t>
  </si>
  <si>
    <t>103동(16/16)</t>
  </si>
  <si>
    <t>탑층 숲세권 교통 생활권 편리 일조 좋음 내부수리필요 무등산전망</t>
  </si>
  <si>
    <t>183</t>
  </si>
  <si>
    <t>231</t>
  </si>
  <si>
    <t>102동(9/18)</t>
  </si>
  <si>
    <t>남동향 대형평수저렴한 가격으로 선점가능 내부리모델링 거실뷰트여 일조좋음</t>
  </si>
  <si>
    <t>탑층 B타입 주방이 넓은 스타일  운암산을 품은 거실 변함없는 쉼</t>
  </si>
  <si>
    <t>-26.5%</t>
  </si>
  <si>
    <t>5099</t>
  </si>
  <si>
    <t>금호</t>
  </si>
  <si>
    <t>432</t>
  </si>
  <si>
    <t>6동(10/15)</t>
  </si>
  <si>
    <t>맨앞동 일조,조망 좋음, 등산로, 교통, 학군, 생활권좋음, 가격조정가</t>
  </si>
  <si>
    <t>-13.2%</t>
  </si>
  <si>
    <t>4동(7/15)</t>
  </si>
  <si>
    <t>샷시 교체 내부 깨끗 교통 생활권 편리 초중고인접</t>
  </si>
  <si>
    <t>-17.4%</t>
  </si>
  <si>
    <t>147</t>
  </si>
  <si>
    <t>2동(5/12)</t>
  </si>
  <si>
    <t>2동(11/12)</t>
  </si>
  <si>
    <t>올리모델링새시포함내부깨끗 대로변 교통 생활권 편리 초 중 근접 조</t>
  </si>
  <si>
    <t>16024</t>
  </si>
  <si>
    <t>운암현대</t>
  </si>
  <si>
    <t>101</t>
  </si>
  <si>
    <t>102동(15/20)</t>
  </si>
  <si>
    <t>5109</t>
  </si>
  <si>
    <t>삼호</t>
  </si>
  <si>
    <t>1990</t>
  </si>
  <si>
    <t>390</t>
  </si>
  <si>
    <t>100A</t>
  </si>
  <si>
    <t>1동(6/15)</t>
  </si>
  <si>
    <t>거주 교통 생활권좋음 남향  맨앞동 
 즉시입주</t>
  </si>
  <si>
    <t>3동(6/15)</t>
  </si>
  <si>
    <t>4동(9/15)</t>
  </si>
  <si>
    <t>급매, 가운데 라인, 남향, 샷시 교체, 학군 교통 생활권 좋음</t>
  </si>
  <si>
    <t>-33.5%</t>
  </si>
  <si>
    <t>248.5%</t>
  </si>
  <si>
    <t>17464</t>
  </si>
  <si>
    <t>운암롯데캐슬</t>
  </si>
  <si>
    <t>1490</t>
  </si>
  <si>
    <t>304동(5/12)</t>
  </si>
  <si>
    <t>305동(13/13)</t>
  </si>
  <si>
    <t>교통 생활권 좋음 내부리모델링 중문설치 조정가</t>
  </si>
  <si>
    <t>-22.8%</t>
  </si>
  <si>
    <t>226.7%</t>
  </si>
  <si>
    <t>76</t>
  </si>
  <si>
    <t>204동(17/17)</t>
  </si>
  <si>
    <t>급매 남향 확장형 부분리모델링 보일러교체 초중고인접 교통 일조 생활좋음</t>
  </si>
  <si>
    <t>-27.7%</t>
  </si>
  <si>
    <t>110</t>
  </si>
  <si>
    <t>107동(7/16)</t>
  </si>
  <si>
    <t>기본형,가시거리 교통 생활권 학군좋음, 즉시입주.</t>
  </si>
  <si>
    <t>-32.2%</t>
  </si>
  <si>
    <t>130</t>
  </si>
  <si>
    <t>103동(5/18)</t>
  </si>
  <si>
    <t>급매 조망 좋음 부분 리모델링  LED 베란다 타일 현관문 교체 조정가</t>
  </si>
  <si>
    <t>122</t>
  </si>
  <si>
    <t>206동(6/18)</t>
  </si>
  <si>
    <t>입구동, 올리모델링 교통 생활권 학군좋음,빠른입주,내부깨끗</t>
  </si>
  <si>
    <t>25580</t>
  </si>
  <si>
    <t>벽산블루밍메가씨티1단지</t>
  </si>
  <si>
    <t>2008</t>
  </si>
  <si>
    <t>843</t>
  </si>
  <si>
    <t>103동(12/20)</t>
  </si>
  <si>
    <t>103동(17/20)</t>
  </si>
  <si>
    <t>남동향,확장형, 리모델링, 즉시입주, 내부관리잘됨, 조정가,가시거리 일조</t>
  </si>
  <si>
    <t>-18.0%</t>
  </si>
  <si>
    <t>64.4%</t>
  </si>
  <si>
    <t>101동(20/20)</t>
  </si>
  <si>
    <t>101동(고/20)</t>
  </si>
  <si>
    <t>내부깨끗 로얄동  초중근접 생활교통편리 전망좋음 협의가능</t>
  </si>
  <si>
    <t>-25.3%</t>
  </si>
  <si>
    <t>135.6%</t>
  </si>
  <si>
    <t>120</t>
  </si>
  <si>
    <t>105동(20/25)</t>
  </si>
  <si>
    <t>109동(13/20)</t>
  </si>
  <si>
    <t>일조권좋음 교통생활권최고 학군좋음초중고인접 조용함  내부깨끗</t>
  </si>
  <si>
    <t>154B</t>
  </si>
  <si>
    <t>107동(5/25)</t>
  </si>
  <si>
    <t>108동(12/24)</t>
  </si>
  <si>
    <t>확장형, 정원전망,LED,보일러교체,내부깨끗,교통생활권편리</t>
  </si>
  <si>
    <t>154A</t>
  </si>
  <si>
    <t>107동(16/25)</t>
  </si>
  <si>
    <t>전체확장 내부깨끗 주차편리 학군좋음 조정가</t>
  </si>
  <si>
    <t>105586</t>
  </si>
  <si>
    <t>벽산블루밍메가씨티3단지</t>
  </si>
  <si>
    <t>1295</t>
  </si>
  <si>
    <t>304동(15/26)</t>
  </si>
  <si>
    <t>306동(11/24)</t>
  </si>
  <si>
    <t>탁트인뷰 전체확장 내부깨끗 조정가 빠른입주가</t>
  </si>
  <si>
    <t>-23.9%</t>
  </si>
  <si>
    <t>121.4%</t>
  </si>
  <si>
    <t>304동(22/26)</t>
  </si>
  <si>
    <t>305동(13/26)</t>
  </si>
  <si>
    <t>급매,일조,전망좋음,조용함</t>
  </si>
  <si>
    <t>-31.9%</t>
  </si>
  <si>
    <t>-1590.0%</t>
  </si>
  <si>
    <t>303동(4/26)</t>
  </si>
  <si>
    <t>301동(21/24)</t>
  </si>
  <si>
    <t>전체확장형 조용함 학군생활권최고 내부아주깨끗 조정가</t>
  </si>
  <si>
    <t>184.3%</t>
  </si>
  <si>
    <t>307동(19/26)</t>
  </si>
  <si>
    <t>308동(4/23)</t>
  </si>
  <si>
    <t>남향 확장형 로얄동 교통 일조 조망 좋음 조정가 즉시입주</t>
  </si>
  <si>
    <t>129.0%</t>
  </si>
  <si>
    <t>16014</t>
  </si>
  <si>
    <t>중흥1차</t>
  </si>
  <si>
    <t>103동(7/15)</t>
  </si>
  <si>
    <t>초급매｜공실 ｜즉시입주｜올리모델링 필요｜초중고 근접｜도보 통학 가능</t>
  </si>
  <si>
    <t>145</t>
  </si>
  <si>
    <t>105동(13/15)</t>
  </si>
  <si>
    <t>남향 샷시했음 내부깨끗  전망 공기좋음 공원인접 협의가</t>
  </si>
  <si>
    <t>5150</t>
  </si>
  <si>
    <t>한국</t>
  </si>
  <si>
    <t>1994</t>
  </si>
  <si>
    <t>476</t>
  </si>
  <si>
    <t>102동(18/21)</t>
  </si>
  <si>
    <t>고층 뻥뷰｜외부 새시 교체｜LED 교체｜초중고 인접｜교통편리</t>
  </si>
  <si>
    <t>-19.5%</t>
  </si>
  <si>
    <t>107</t>
  </si>
  <si>
    <t>106동(13/19)</t>
  </si>
  <si>
    <t>내부 올 리모델링 샤시빼고 ,조망권</t>
  </si>
  <si>
    <t>-15.3%</t>
  </si>
  <si>
    <t>101동(12/19)</t>
  </si>
  <si>
    <t xml:space="preserve">남동향 일조전망좋음 교통생활권편리 학군좋음 </t>
  </si>
  <si>
    <t>5105</t>
  </si>
  <si>
    <t>운암대주</t>
  </si>
  <si>
    <t>1995</t>
  </si>
  <si>
    <t>102동(8/20)</t>
  </si>
  <si>
    <t>세입자안고 전망좋음 도배교체 욕실싱크대교체 관리상태양호</t>
  </si>
  <si>
    <t>-7.3%</t>
  </si>
  <si>
    <t>105동(14/20)</t>
  </si>
  <si>
    <t>조망권  남향 내부개끗 욕실수리</t>
  </si>
  <si>
    <t>-18.2%</t>
  </si>
  <si>
    <t>127</t>
  </si>
  <si>
    <t>156</t>
  </si>
  <si>
    <t>101동(7/20)</t>
  </si>
  <si>
    <t>급매｜47｜메인동,라인｜남향｜기아챔피언스필드 뷰｜초중고 근접｜추가조정가능</t>
  </si>
  <si>
    <t>남향 중문 샤시교체 거실바닥제천연대리석 학군좋음 교통 생활권편리</t>
  </si>
  <si>
    <t>11936</t>
  </si>
  <si>
    <t>매곡</t>
  </si>
  <si>
    <t>서광인텔파크</t>
  </si>
  <si>
    <t>2003</t>
  </si>
  <si>
    <t>722</t>
  </si>
  <si>
    <t>107동(7/17)</t>
  </si>
  <si>
    <t>일조 조망최고 기본형 하백초 등산로옆 숲세권 즉시입주</t>
  </si>
  <si>
    <t>-32.9%</t>
  </si>
  <si>
    <t>100</t>
  </si>
  <si>
    <t>123</t>
  </si>
  <si>
    <t>102동(17/22)</t>
  </si>
  <si>
    <t>남향 앞뒤트임 방2확장 가시거리 일조좋음 수리요함</t>
  </si>
  <si>
    <t>131</t>
  </si>
  <si>
    <t>106동(16/20)</t>
  </si>
  <si>
    <t>일조전망최고 남향 가운데 숲세권 하백초 등산로옆  내부수리필요</t>
  </si>
  <si>
    <t>5255</t>
  </si>
  <si>
    <t>금호타운</t>
  </si>
  <si>
    <t>498</t>
  </si>
  <si>
    <t>10</t>
  </si>
  <si>
    <t>106동(9/11)</t>
  </si>
  <si>
    <t>남향 계단식 일조전망최고 신발장 씽크대 화장실교체 숲세권 즉시입주가</t>
  </si>
  <si>
    <t>101동(9/9)</t>
  </si>
  <si>
    <t>-18.3%</t>
  </si>
  <si>
    <t>5252</t>
  </si>
  <si>
    <t>매곡삼익</t>
  </si>
  <si>
    <t>395</t>
  </si>
  <si>
    <t>9</t>
  </si>
  <si>
    <t>급매  내부올리모델링  방3 욕실2 탁트인조망권 학군좋음 교통생활권편리</t>
  </si>
  <si>
    <t>775.0%</t>
  </si>
  <si>
    <t>148</t>
  </si>
  <si>
    <t>103동(중/20)</t>
  </si>
  <si>
    <t>5296</t>
  </si>
  <si>
    <t>용봉</t>
  </si>
  <si>
    <t>삼성</t>
  </si>
  <si>
    <t>1993</t>
  </si>
  <si>
    <t>544</t>
  </si>
  <si>
    <t>33</t>
  </si>
  <si>
    <t>4동(8/18)</t>
  </si>
  <si>
    <t>씽크대 화장실 조용한동 내부깨끗 즉시입주가</t>
  </si>
  <si>
    <t>3동(8/21)</t>
  </si>
  <si>
    <t>3동(15/21)</t>
  </si>
  <si>
    <t>급 급매  강력추천 정남향 하백학군임 수리필요함 생활권편리함</t>
  </si>
  <si>
    <t>-26.0%</t>
  </si>
  <si>
    <t>1440.0%</t>
  </si>
  <si>
    <t>157</t>
  </si>
  <si>
    <t>6동(8/20)</t>
  </si>
  <si>
    <t>초급매.현재공실.조정가.남향.방4개.화장실2개.구조좋음.생활권편리.</t>
  </si>
  <si>
    <t>24995</t>
  </si>
  <si>
    <t>중흥S-클래스</t>
  </si>
  <si>
    <t>102동(6/18)</t>
  </si>
  <si>
    <t>아이들이잘된집  정남향 가운데라인 층 호수좋음 집상태깨끗 하백초 학군</t>
  </si>
  <si>
    <t>-18.9%</t>
  </si>
  <si>
    <t>103709</t>
  </si>
  <si>
    <t>용봉엘리체</t>
  </si>
  <si>
    <t>430</t>
  </si>
  <si>
    <t>90A</t>
  </si>
  <si>
    <t>19</t>
  </si>
  <si>
    <t>102동(7/22)</t>
  </si>
  <si>
    <t>＊조정가능＊중문, 줄눈, 탄성코팅, 내부깨끗, 생활권편리</t>
  </si>
  <si>
    <t>-33.0%</t>
  </si>
  <si>
    <t>104동(8/19)</t>
  </si>
  <si>
    <t>남향, 전체확장형, 구조좋음, 조망일조권최고,조정가</t>
  </si>
  <si>
    <t>-15.5%</t>
  </si>
  <si>
    <t>5259</t>
  </si>
  <si>
    <t>신동아</t>
  </si>
  <si>
    <t>391</t>
  </si>
  <si>
    <t>102동(14/20)</t>
  </si>
  <si>
    <t>조망좋음 비엔날레,박물관인접  교통, 생활권편리  즉시입주가능</t>
  </si>
  <si>
    <t>-10.4%</t>
  </si>
  <si>
    <t>103동(12/19)</t>
  </si>
  <si>
    <t>가운데라인 남향 내부깨끗 즉시입주</t>
  </si>
  <si>
    <t>-16.4%</t>
  </si>
  <si>
    <t>5271</t>
  </si>
  <si>
    <t>중흥</t>
  </si>
  <si>
    <t>75B</t>
  </si>
  <si>
    <t>103동(15/15)</t>
  </si>
  <si>
    <t>남향 올리모델링 거실 작은방1확장 층간소음해소 중외공원 비엔날레접</t>
  </si>
  <si>
    <t>-5.9%</t>
  </si>
  <si>
    <t>103동(4/15)</t>
  </si>
  <si>
    <t>26.5말입주가 샤시포함 올수리완료 내부깨끗 입주일 및 매매가 협의가</t>
  </si>
  <si>
    <t>-8.7%</t>
  </si>
  <si>
    <t>134</t>
  </si>
  <si>
    <t>159</t>
  </si>
  <si>
    <t>75A</t>
  </si>
  <si>
    <t>100930</t>
  </si>
  <si>
    <t>용봉대주파크빌1차</t>
  </si>
  <si>
    <t>302</t>
  </si>
  <si>
    <t>-16.7%</t>
  </si>
  <si>
    <t>200</t>
  </si>
  <si>
    <t>계|5|3</t>
  </si>
  <si>
    <t>19526</t>
  </si>
  <si>
    <t>용봉대주파크빌3차</t>
  </si>
  <si>
    <t>399</t>
  </si>
  <si>
    <t>301동(13/17)</t>
  </si>
  <si>
    <t>초급매 즉시입주가능 거실확장 무등산조망 내부상태양호 조정가</t>
  </si>
  <si>
    <t>114B</t>
  </si>
  <si>
    <t>114C</t>
  </si>
  <si>
    <t>급매 남향 뷰최고좋음 통풍,일조 최고 조정가</t>
  </si>
  <si>
    <t>-19.4%</t>
  </si>
  <si>
    <t>5282</t>
  </si>
  <si>
    <t>용봉현대</t>
  </si>
  <si>
    <t>436</t>
  </si>
  <si>
    <t>11</t>
  </si>
  <si>
    <t>101동(13/15)</t>
  </si>
  <si>
    <t>내부리모델링 샷시교체 일조전망좋음 개별난방 생활권편리</t>
  </si>
  <si>
    <t>-8.4%</t>
  </si>
  <si>
    <t>100C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</si>
  <si>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</si>
  <si>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</si>
  <si>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</si>
  <si>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</si>
  <si>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</si>
  <si>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</si>
  <si>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급매 조정가능 마트 병원 은행등 생활권편리 경신 금호고인접</t>
  </si>
  <si>
    <t>156B</t>
  </si>
  <si>
    <t>가격조정가 내부리모델링 샷시포함 안방드레스룸설치  주방구조변경 보일러교체</t>
  </si>
  <si>
    <t>110159</t>
  </si>
  <si>
    <t>용봉아델리움인비엔날레</t>
  </si>
  <si>
    <t>398</t>
  </si>
  <si>
    <t>107동(5/16)</t>
  </si>
  <si>
    <t>102동(중/12)</t>
  </si>
  <si>
    <t>무등산뷰내부깨끗채광,통풍좋음태봉초등학군좋음조용하고아늑함조정가능</t>
  </si>
  <si>
    <t>-21.2%</t>
  </si>
  <si>
    <t>84.6%</t>
  </si>
  <si>
    <t>107동(4/16)</t>
  </si>
  <si>
    <t>B타입주방,거실 분리,일체선택사용가능구조현관펜트리내부깨끗조정가능</t>
  </si>
  <si>
    <t>-17.3%</t>
  </si>
  <si>
    <t>16630</t>
  </si>
  <si>
    <t>모아미래도</t>
  </si>
  <si>
    <t>649</t>
  </si>
  <si>
    <t>복|1|1</t>
  </si>
  <si>
    <t>105동(11/15)</t>
  </si>
  <si>
    <t>월세안고가, 샷시교체, 조망좋음</t>
  </si>
  <si>
    <t>103동(9/15)</t>
  </si>
  <si>
    <t>109N</t>
  </si>
  <si>
    <t>102동(4/15)</t>
  </si>
  <si>
    <t>남향입주시리모델링내부깨끗학군좋음3분거리 초,중,고조정가능</t>
  </si>
  <si>
    <t>111S</t>
  </si>
  <si>
    <t>106동(중/14)</t>
  </si>
  <si>
    <t>105동(14/15)</t>
  </si>
  <si>
    <t>남향 내부상태양호 일조 채광 통풍우수 작은방확장 생활권편리</t>
  </si>
  <si>
    <t>5279</t>
  </si>
  <si>
    <t>현대3차</t>
  </si>
  <si>
    <t>1999</t>
  </si>
  <si>
    <t>417</t>
  </si>
  <si>
    <t>303동(9/15)</t>
  </si>
  <si>
    <t>남향 중간라인 부분리모델링 상태좋음</t>
  </si>
  <si>
    <t>-15.1%</t>
  </si>
  <si>
    <t>128</t>
  </si>
  <si>
    <t>301동(11/15)</t>
  </si>
  <si>
    <t>남향 조망좋음 협의후입주 조정가</t>
  </si>
  <si>
    <t>22532</t>
  </si>
  <si>
    <t>용봉한화꿈에그린</t>
  </si>
  <si>
    <t>642</t>
  </si>
  <si>
    <t>90</t>
  </si>
  <si>
    <t>47</t>
  </si>
  <si>
    <t>107동(5/22)</t>
  </si>
  <si>
    <t>방3욕2,작은방확장,내부아주깨끗,즉시입주가능.전남대,용주초인접</t>
  </si>
  <si>
    <t>104동(14/23)</t>
  </si>
  <si>
    <t>전남대예대인접, 3베이 일조 가시거리양호,일반형,내부깨끗</t>
  </si>
  <si>
    <t>-27.5%</t>
  </si>
  <si>
    <t>146</t>
  </si>
  <si>
    <t>101동(7/22)</t>
  </si>
  <si>
    <t>전남대,용주초인접, 방4,거실확장, 전망 일조좋음. 4월말입주가</t>
  </si>
  <si>
    <t>5293</t>
  </si>
  <si>
    <t>용봉호반</t>
  </si>
  <si>
    <t>333</t>
  </si>
  <si>
    <t>101동(7/18)</t>
  </si>
  <si>
    <t>가경가시거리 전망좋음,내부깨끗,즉시입주가,교통생활권편리,조정가</t>
  </si>
  <si>
    <t>5265</t>
  </si>
  <si>
    <t>용봉유창하이리빙맨션</t>
  </si>
  <si>
    <t>51</t>
  </si>
  <si>
    <t>12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</si>
  <si>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</si>
  <si>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</si>
  <si>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</si>
  <si>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</si>
  <si>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</si>
  <si>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가시거리 일조전망좋음,남향,내부리모델링깨끗,전남대 인문대인접,조정가,</t>
  </si>
  <si>
    <t>101동(12/21)</t>
  </si>
  <si>
    <t>가시거리 일조전망좋음,남향,내부깨끗,협의후입주,전대인문대인접,방4,욕실2</t>
  </si>
  <si>
    <t>-24.2%</t>
  </si>
  <si>
    <t>108918</t>
  </si>
  <si>
    <t>광주용봉휴먼시아</t>
  </si>
  <si>
    <t>2009</t>
  </si>
  <si>
    <t>266</t>
  </si>
  <si>
    <t>복합|3|2</t>
  </si>
  <si>
    <t>내부 아주 깨끗</t>
  </si>
  <si>
    <t>120.0%</t>
  </si>
  <si>
    <t>4997</t>
  </si>
  <si>
    <t>오치</t>
  </si>
  <si>
    <t>오치금호타운</t>
  </si>
  <si>
    <t>247</t>
  </si>
  <si>
    <t>5006</t>
  </si>
  <si>
    <t>삼익1차</t>
  </si>
  <si>
    <t>354</t>
  </si>
  <si>
    <t>방3개 욕실1개 주방겸 거실 앞 뒤베란다 남향 일조 조망최상 급매매</t>
  </si>
  <si>
    <t>102동(7/15)</t>
  </si>
  <si>
    <t>교통 생활권편리 매매가 조정가</t>
  </si>
  <si>
    <t>-30.9%</t>
  </si>
  <si>
    <t>급매  맨앞동 내부깨끗 일조조망좋음 조정가 입주협의가</t>
  </si>
  <si>
    <t>5003</t>
  </si>
  <si>
    <t>105동(18/18)</t>
  </si>
  <si>
    <t xml:space="preserve">방3개 욕실2개 주방겸 거실 내부 올수리 일조조망최상 </t>
  </si>
  <si>
    <t>-30.0%</t>
  </si>
  <si>
    <t>108827</t>
  </si>
  <si>
    <t>삼각</t>
  </si>
  <si>
    <t>일곡엘리체프라임</t>
  </si>
  <si>
    <t>2016</t>
  </si>
  <si>
    <t>526</t>
  </si>
  <si>
    <t>108동(12/14)</t>
  </si>
  <si>
    <t>101동(중/15)</t>
  </si>
  <si>
    <t>급매.정남향.시스템에어컨2대.A타입.타일수리.내부깨끗.세입자안고.조정가능</t>
  </si>
  <si>
    <t>-26.6%</t>
  </si>
  <si>
    <t>211.7%</t>
  </si>
  <si>
    <t>106동(10/17)</t>
  </si>
  <si>
    <t>남서향.시스템에어컨2대.산조망.조용함.안방크게나옴.관리상태최상.협의후입주</t>
  </si>
  <si>
    <t>-24.5%</t>
  </si>
  <si>
    <t>98C</t>
  </si>
  <si>
    <t>107동(12/14)</t>
  </si>
  <si>
    <t>정남향.시스템에어컨2대.채광우수.내부깨끗.생활권편리.전세3억원안고가능.</t>
  </si>
  <si>
    <t>-31.3%</t>
  </si>
  <si>
    <t>107동(13/14)</t>
  </si>
  <si>
    <t>급매.정남향.시스템에어컨2대.내부깨끗.채광조망우수.학군최고.조정가능.</t>
  </si>
  <si>
    <t>-31.4%</t>
  </si>
  <si>
    <t>5199</t>
  </si>
  <si>
    <t>삼각그린타운</t>
  </si>
  <si>
    <t>1266</t>
  </si>
  <si>
    <t>110동(7/20)</t>
  </si>
  <si>
    <t>107동(15/20)</t>
  </si>
  <si>
    <t>방3개 욕실1개 주방겸 거실 앞 뒤베란다 내부 최고급 올수리 즉시가</t>
  </si>
  <si>
    <t>69</t>
  </si>
  <si>
    <t>조정가 출입구동 가운데라인 남향 전면 샤시 교체 리모델링 뷰 햇빛 맛집</t>
  </si>
  <si>
    <t>110동(10/20)</t>
  </si>
  <si>
    <t>조정가 올리모델링 거실 작은방1확장 중문 안방붙박이장 설치 수리없이 입주</t>
  </si>
  <si>
    <t>109동(중/20)</t>
  </si>
  <si>
    <t>조정가 가운데리인 남향 조용한 숲세권 리모델링 입주일 협의</t>
  </si>
  <si>
    <t>102동(11/20)</t>
  </si>
  <si>
    <t>조정가 남향 올리모델링 가경 일조 좋음 중문 붙박이장 설치 관리상태 좋음</t>
  </si>
  <si>
    <t>조정가 귀한 평형대 매물 가경 일조 좋음 숲세권  남향</t>
  </si>
  <si>
    <t>113134</t>
  </si>
  <si>
    <t>신일곡골드클래스</t>
  </si>
  <si>
    <t>327</t>
  </si>
  <si>
    <t>104동(4/13)</t>
  </si>
  <si>
    <t>남향, 중문, 줄눈, 탄성코트,  조정가</t>
  </si>
  <si>
    <t>106동(중/17)</t>
  </si>
  <si>
    <t>남향 로얄동 일조.조망좋음 관리상태최상 팬트리넓음 빠른입주 및 조정가</t>
  </si>
  <si>
    <t>-22.0%</t>
  </si>
  <si>
    <t>5218</t>
  </si>
  <si>
    <t>삼각우미타운</t>
  </si>
  <si>
    <t>401</t>
  </si>
  <si>
    <t>101동(5/20)</t>
  </si>
  <si>
    <t xml:space="preserve">방3개 욕실1개 주방겸 거실 앞뒤 베란다  남맨앞동 내부올수리  </t>
  </si>
  <si>
    <t>900.0%</t>
  </si>
  <si>
    <t>5049</t>
  </si>
  <si>
    <t>일곡</t>
  </si>
  <si>
    <t>105동(5/15)</t>
  </si>
  <si>
    <t>가운데라인 남향 방2확장 욕실1교체 앞트임좋아 채광이좋은집이니다</t>
  </si>
  <si>
    <t>5063</t>
  </si>
  <si>
    <t>일곡현대3차</t>
  </si>
  <si>
    <t>332</t>
  </si>
  <si>
    <t>302동(5/18)</t>
  </si>
  <si>
    <t>302동(15/18)</t>
  </si>
  <si>
    <t>남향,생활권편리,교통편리,내부깨끗</t>
  </si>
  <si>
    <t>-24.0%</t>
  </si>
  <si>
    <t>473.3%</t>
  </si>
  <si>
    <t>5051</t>
  </si>
  <si>
    <t>일곡대림2차</t>
  </si>
  <si>
    <t>396</t>
  </si>
  <si>
    <t>202동(16/18)</t>
  </si>
  <si>
    <t>남향 내부깨끗  아파트주변 생활편익시설 인접하여 거주환경이좋음</t>
  </si>
  <si>
    <t>-17.8%</t>
  </si>
  <si>
    <t>204동(6/18)</t>
  </si>
  <si>
    <t>급매물  남향 내부수리필요함 빠른입주가 조정가 틔인전망</t>
  </si>
  <si>
    <t>5055</t>
  </si>
  <si>
    <t>벽산</t>
  </si>
  <si>
    <t>450</t>
  </si>
  <si>
    <t>92</t>
  </si>
  <si>
    <t>104동(14/16)</t>
  </si>
  <si>
    <t>103동(6/16)</t>
  </si>
  <si>
    <t>남향가운데라인,전망일조좋음,내부올리모델링,초중고인접</t>
  </si>
  <si>
    <t>-17.7%</t>
  </si>
  <si>
    <t>102동(13/22)</t>
  </si>
  <si>
    <t>내부매우깨끗 거실.방2확장 부분리모델링 남향 조정가 학군최상 생활권편리</t>
  </si>
  <si>
    <t>5064</t>
  </si>
  <si>
    <t>동아</t>
  </si>
  <si>
    <t>580</t>
  </si>
  <si>
    <t>101동(17/22)</t>
  </si>
  <si>
    <t>맨앞동 일조전망좋음 초중고인접 수리는필요함</t>
  </si>
  <si>
    <t>2.8%</t>
  </si>
  <si>
    <t>104동(8/24)</t>
  </si>
  <si>
    <t>남향 주방 작은방확장 주차공간 동간거리 넓음 전망최고좋음 초중고 바로접</t>
  </si>
  <si>
    <t>160</t>
  </si>
  <si>
    <t>105동(15/20)</t>
  </si>
  <si>
    <t xml:space="preserve">전망좋음 각방구조좋음 초중고 인접 </t>
  </si>
  <si>
    <t>5362</t>
  </si>
  <si>
    <t>문흥</t>
  </si>
  <si>
    <t>124A</t>
  </si>
  <si>
    <t>103동(4/17)</t>
  </si>
  <si>
    <t>103동 가운데라인 남향 내부수리 작은방확장  씽크대 화장실교체</t>
  </si>
  <si>
    <t>155</t>
  </si>
  <si>
    <t>101동(12/18)</t>
  </si>
  <si>
    <t>급매 남향 가운데 로얄동 교통생활일조조망권좋음 등산로인접  즉시입주</t>
  </si>
  <si>
    <t>104동(14/18)</t>
  </si>
  <si>
    <t>남향 교통 생활 학군 조망좋음 내부깨끗 등산로인접 조정가</t>
  </si>
  <si>
    <t>-14.3%</t>
  </si>
  <si>
    <t>124B</t>
  </si>
  <si>
    <t>5320</t>
  </si>
  <si>
    <t>문흥라인동산</t>
  </si>
  <si>
    <t>201동(5/15)</t>
  </si>
  <si>
    <t>-18.5%</t>
  </si>
  <si>
    <t>201동(9/15)</t>
  </si>
  <si>
    <t>190</t>
  </si>
  <si>
    <t>204동(6/13)</t>
  </si>
  <si>
    <t>5311</t>
  </si>
  <si>
    <t>702</t>
  </si>
  <si>
    <t>110동(12/14)</t>
  </si>
  <si>
    <t>내부깨끗,등산로인접,학군양호,조정가</t>
  </si>
  <si>
    <t>-16.1%</t>
  </si>
  <si>
    <t>95</t>
  </si>
  <si>
    <t>105동(10/16)</t>
  </si>
  <si>
    <t>로얄동,가운데라인,내부구조좋음,숲세권,입주일 협의가</t>
  </si>
  <si>
    <t>102동(11/16)</t>
  </si>
  <si>
    <t>가운데라인,내부수리,등산로인접,학군양호,조정가</t>
  </si>
  <si>
    <t>106동(8/16)</t>
  </si>
  <si>
    <t>급매 I 에어컨3 붙박이장 탄성코팅 내부상태깨끗 3월 중순입주가</t>
  </si>
  <si>
    <t>5351</t>
  </si>
  <si>
    <t>해광한신무지개</t>
  </si>
  <si>
    <t>330</t>
  </si>
  <si>
    <t>102동(15/15)</t>
  </si>
  <si>
    <t>5326</t>
  </si>
  <si>
    <t>모아</t>
  </si>
  <si>
    <t>322</t>
  </si>
  <si>
    <t>102B</t>
  </si>
  <si>
    <t>103동(12/13)</t>
  </si>
  <si>
    <t>-29.9%</t>
  </si>
  <si>
    <t>103A</t>
  </si>
  <si>
    <t>101동(12/12)</t>
  </si>
  <si>
    <t>매매가조정가 가운데라인 내부깨끗 초등,중학교근접 생활권편리 입주협의</t>
  </si>
  <si>
    <t>-32.0%</t>
  </si>
  <si>
    <t>15743</t>
  </si>
  <si>
    <t>문흥우미</t>
  </si>
  <si>
    <t>320</t>
  </si>
  <si>
    <t>102동(15/16)</t>
  </si>
  <si>
    <t>가운데라인 남향 내부올수리  보증금1억6000만원안고가</t>
  </si>
  <si>
    <t>97</t>
  </si>
  <si>
    <t>5324</t>
  </si>
  <si>
    <t>문흥명지</t>
  </si>
  <si>
    <t>101동(6/18)</t>
  </si>
  <si>
    <t>-24.4%</t>
  </si>
  <si>
    <t>5349</t>
  </si>
  <si>
    <t>중흥파크맨션1단지</t>
  </si>
  <si>
    <t>-17.5%</t>
  </si>
  <si>
    <t>15766</t>
  </si>
  <si>
    <t>대주맨션2차</t>
  </si>
  <si>
    <t>1988</t>
  </si>
  <si>
    <t>959</t>
  </si>
  <si>
    <t>201동(12/15)</t>
  </si>
  <si>
    <t xml:space="preserve"> 방2 가운데라인 일조좋음 부분수리 입주일협의가</t>
  </si>
  <si>
    <t>78A</t>
  </si>
  <si>
    <t>202동(13/15)</t>
  </si>
  <si>
    <t>급매 방3 남향 가운데라인 부분수리 새시교체 내부깨끗</t>
  </si>
  <si>
    <t>205동(9/15)</t>
  </si>
  <si>
    <t>급매 맨앞동 남향 방4 올리모델링 거실확장 아주깨끗</t>
  </si>
  <si>
    <t>302동(고/11)</t>
  </si>
  <si>
    <t>정남향,샷시교체완료,고층일조권우수</t>
  </si>
  <si>
    <t>-7.9%</t>
  </si>
  <si>
    <t>142</t>
  </si>
  <si>
    <t>301동(6/11)</t>
  </si>
  <si>
    <t>조정가 4월말협의입주 앞동 탁트인조망.일조.채광좋음 리모델링 내부아주깨끗</t>
  </si>
  <si>
    <t>74A</t>
  </si>
  <si>
    <t>79B</t>
  </si>
  <si>
    <t>206동(12/15)</t>
  </si>
  <si>
    <t>방2 거실넓음 가운데라인 내부리모델링요함 즉시입주가</t>
  </si>
  <si>
    <t>303동(10/11)</t>
  </si>
  <si>
    <t>탑층 방3 남향 가운데라인 일조좋음 올리모델링 내부깨끗</t>
  </si>
  <si>
    <t>-15.8%</t>
  </si>
  <si>
    <t>109576</t>
  </si>
  <si>
    <t>각화</t>
  </si>
  <si>
    <t>휴먼파크서희스타힐스(주거복합)</t>
  </si>
  <si>
    <t>946</t>
  </si>
  <si>
    <t>105동(고/35)</t>
  </si>
  <si>
    <t>107동(24/35)</t>
  </si>
  <si>
    <t>＊시스템에어컨2대, 중문, 건조기 설치완료. ＊조용한동 내부깨끗</t>
  </si>
  <si>
    <t>-32.3%</t>
  </si>
  <si>
    <t>221.4%</t>
  </si>
  <si>
    <t>103동(35/35)</t>
  </si>
  <si>
    <t>＊급매＊조정가능＊ 맨앞로얄동 일조전망최고 내부매우깨끗</t>
  </si>
  <si>
    <t>112642</t>
  </si>
  <si>
    <t>힐스테이트각화(주상복합)</t>
  </si>
  <si>
    <t>740</t>
  </si>
  <si>
    <t>107동(27/28)</t>
  </si>
  <si>
    <t>전망,일조권좋음,내부깨끗.조용하고 공기좋음.전세안고가능</t>
  </si>
  <si>
    <t>81A1</t>
  </si>
  <si>
    <t>102동(고/31)</t>
  </si>
  <si>
    <t>일조조망최상 조용한동 내부매우깨끗 단지조망좋음 (조정가)</t>
  </si>
  <si>
    <t>-27.0%</t>
  </si>
  <si>
    <t>107동(9/28)</t>
  </si>
  <si>
    <t>-24.1%</t>
  </si>
  <si>
    <t>102동(4/31)</t>
  </si>
  <si>
    <t>＊급매＊ 부분리모델링 ＊ 내부매우깨끗 ＊ 즉시입주가 ＊ 조정가＊</t>
  </si>
  <si>
    <t>102동(11/31)</t>
  </si>
  <si>
    <t>급매,구조.일조권좋음,입구동,내부깨끗세안고가</t>
  </si>
  <si>
    <t>113A1</t>
  </si>
  <si>
    <t>101동(16/31)</t>
  </si>
  <si>
    <t>조용한동 단지조망좋음 내부매우깨끗 입주협의가 （ 조정가 ）</t>
  </si>
  <si>
    <t>132124</t>
  </si>
  <si>
    <t>더샵광주포레스트(주상복합)</t>
  </si>
  <si>
    <t>2023</t>
  </si>
  <si>
    <t>907</t>
  </si>
  <si>
    <t>106동(5/39)</t>
  </si>
  <si>
    <t>시스템에어컨,냉장고, 옵션좋음, 협의입주</t>
  </si>
  <si>
    <t>-22.1%</t>
  </si>
  <si>
    <t>113C</t>
  </si>
  <si>
    <t>106동(39/39)</t>
  </si>
  <si>
    <t>구조좋음 내부깨끗 시스템에어컨 간접조명우물등 입주협의가능</t>
  </si>
  <si>
    <t>102동(4/39)</t>
  </si>
  <si>
    <t>B타입 내부깨끗 단지뷰 시스템에어컨 중문 줄눈 탄성 입주협의가능</t>
  </si>
  <si>
    <t>-21.0%</t>
  </si>
  <si>
    <t>104동(24/39)</t>
  </si>
  <si>
    <t>102동(고/39)</t>
  </si>
  <si>
    <t>입주2년차 신축, 시스템에어컨4, 중문</t>
  </si>
  <si>
    <t>136B</t>
  </si>
  <si>
    <t>104동(20/39)</t>
  </si>
  <si>
    <t>104동(중/39)</t>
  </si>
  <si>
    <t>초급매 104동 구조좋음 내부깨끗 조용한동 시스템에어컨6대 입주협의가능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</si>
  <si>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</si>
  <si>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</si>
  <si>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</si>
  <si>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</si>
  <si>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</si>
  <si>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</si>
  <si>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</si>
  <si>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103동(9/37)</t>
  </si>
  <si>
    <t>-15.0%</t>
  </si>
  <si>
    <t>104동(37/39)</t>
  </si>
  <si>
    <t>104동(고/39)</t>
  </si>
  <si>
    <t>104동 고층,일조좋음,방4개구조,신축내부깨끗,중문,매매가 입주일 협의가</t>
  </si>
  <si>
    <t>-30.2%</t>
  </si>
  <si>
    <t>4908</t>
  </si>
  <si>
    <t>금호타운1</t>
  </si>
  <si>
    <t>954</t>
  </si>
  <si>
    <t>88B</t>
  </si>
  <si>
    <t>2동(12/15)</t>
  </si>
  <si>
    <t>일조,조망좋음.내부깨끗. 가운데라인.</t>
  </si>
  <si>
    <t>100D</t>
  </si>
  <si>
    <t>12동(13/14)</t>
  </si>
  <si>
    <t>1동(14/15)</t>
  </si>
  <si>
    <t>남향, 가운데라인, 내부깨끗, 교통 생활권편리.</t>
  </si>
  <si>
    <t>86A</t>
  </si>
  <si>
    <t>86B</t>
  </si>
  <si>
    <t>2동(14/15)</t>
  </si>
  <si>
    <t>즉시입주가능.일조,조망좋음.내부깨끗.</t>
  </si>
  <si>
    <t>88A</t>
  </si>
  <si>
    <t>99A</t>
  </si>
  <si>
    <t>7동(4/15)</t>
  </si>
  <si>
    <t>일조,조망좋음.생활,교통편리.내부깨끗.입주일협의</t>
  </si>
  <si>
    <t>99B</t>
  </si>
  <si>
    <t>6동(7/15)</t>
  </si>
  <si>
    <t>급매가운데라인.즉시입주가능.내부깨끗.조정가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</si>
  <si>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</si>
  <si>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</si>
  <si>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</si>
  <si>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</si>
  <si>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</si>
  <si>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</si>
  <si>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</si>
  <si>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>104동(13/16)</t>
  </si>
  <si>
    <t>조정가 즉시입주 교통.조망.일조 좋음  2in1에어컨 붙박이장 비데 오븐</t>
  </si>
  <si>
    <t>-26.3%</t>
  </si>
  <si>
    <t>105동(21/24)</t>
  </si>
  <si>
    <t>조정가 선호B타입 교통.조망.일조 좋음, 중문, 시스템에어컨4 즉시입주</t>
  </si>
  <si>
    <t>-21.6%</t>
  </si>
  <si>
    <t>105동(4/24)</t>
  </si>
  <si>
    <t xml:space="preserve"> 조용한 동, 단지 내 조망 아주 예쁨, 4베이 구조, 내부 깨끗</t>
  </si>
  <si>
    <t>-28.6%</t>
  </si>
  <si>
    <t>106동(24/25)</t>
  </si>
  <si>
    <t>B타입 투인원에어컨 LED 도배새로함 도어락 음식물처리기 중문 줄눈 탄성</t>
  </si>
  <si>
    <t>-22.9%</t>
  </si>
  <si>
    <t>106동(23/25)</t>
  </si>
  <si>
    <t>급추천 채광좋고 깨끗  입주하시 에어컨2대</t>
  </si>
  <si>
    <t>-25.0%</t>
  </si>
  <si>
    <t>103동(8/25)</t>
  </si>
  <si>
    <t>급. 시스템에어컨4대, 앞동으로 시야넓고 일조 풍부, 집상태 아주좋음,</t>
  </si>
  <si>
    <t>39</t>
  </si>
  <si>
    <t>108동(10/17)</t>
  </si>
  <si>
    <t>일조권,조망권 좋음</t>
  </si>
  <si>
    <t>101034</t>
  </si>
  <si>
    <t>글로벌</t>
  </si>
  <si>
    <t xml:space="preserve">남향 확장형 가운데라인 교통편리 공원인접 </t>
  </si>
  <si>
    <t>-10.9%</t>
  </si>
  <si>
    <t>174</t>
  </si>
  <si>
    <t>101동(4/17)</t>
  </si>
  <si>
    <t>103동(16/17)</t>
  </si>
  <si>
    <t>109369</t>
  </si>
  <si>
    <t>풍향</t>
  </si>
  <si>
    <t>교대금호어울림</t>
  </si>
  <si>
    <t>960</t>
  </si>
  <si>
    <t>105동(12/20)</t>
  </si>
  <si>
    <t>탁트인무등산조망 시스템에어컨4 안방붙박이  최근도배 주전매매 가능 조정가</t>
  </si>
  <si>
    <t>-19.6%</t>
  </si>
  <si>
    <t>정남향 시스템에어컨2 안방붙박이 최근보일러,LED등 교체 조정가 즉시입주</t>
  </si>
  <si>
    <t>96B</t>
  </si>
  <si>
    <t>103동(중/22)</t>
  </si>
  <si>
    <t>내부리모델링.시스템에어컨4,오븐.안방붙박이장,중문,수리없이 입주가.</t>
  </si>
  <si>
    <t>-20.8%</t>
  </si>
  <si>
    <t>96A</t>
  </si>
  <si>
    <t>104동(4/19)</t>
  </si>
  <si>
    <t>무등산조망,앞동,일조좋음,시스템에어컨2대,오븐,줄눈,조정가</t>
  </si>
  <si>
    <t>-24.7%</t>
  </si>
  <si>
    <t>108동(7/21)</t>
  </si>
  <si>
    <t>남향,일조통풍좋음,트윈원에어컨,인덕션,중문,보일러교체,탄성,조용한동조정가</t>
  </si>
  <si>
    <t>110동(18/22)</t>
  </si>
  <si>
    <t>109동(고/22)</t>
  </si>
  <si>
    <t>일조, 무등산조망 매우좋음, 중문, 내부깨끗함</t>
  </si>
  <si>
    <t>189.6%</t>
  </si>
  <si>
    <t>111C</t>
  </si>
  <si>
    <t>106동(18/18)</t>
  </si>
  <si>
    <t>급매 최상층 중문 최근보일러교체 투인원에어컨 펜트리 세탁실넓음 즉시입주가</t>
  </si>
  <si>
    <t>-31.6%</t>
  </si>
  <si>
    <t>152.1%</t>
  </si>
  <si>
    <t>111D</t>
  </si>
  <si>
    <t>109동(14/22)</t>
  </si>
  <si>
    <t>정남향 4베이 시스템에어컨5 안방붙박이 빌트인냉장고 중문 조정가</t>
  </si>
  <si>
    <t>112E</t>
  </si>
  <si>
    <t>128062</t>
  </si>
  <si>
    <t>우산</t>
  </si>
  <si>
    <t>무등산자이</t>
  </si>
  <si>
    <t>2025</t>
  </si>
  <si>
    <t>2382</t>
  </si>
  <si>
    <t>149B</t>
  </si>
  <si>
    <t>182</t>
  </si>
  <si>
    <t>113동(6/29)</t>
  </si>
  <si>
    <t>6층 필로티, 최저가매물, 전망, 채광, 풀옵션.</t>
  </si>
  <si>
    <t>101동(고/26)</t>
  </si>
  <si>
    <t>108동(28/28)</t>
  </si>
  <si>
    <t>130P, 조합원물건, 풀옵션, 방5, 가족실, 욕실3, 옥외공간 등</t>
  </si>
  <si>
    <t>148A</t>
  </si>
  <si>
    <t>122동(6/24)</t>
  </si>
  <si>
    <t>조합원세대, 가전포함 풀옵션, 가경 일조좋음, 생활권편리, 조정가</t>
  </si>
  <si>
    <t>211</t>
  </si>
  <si>
    <t>17</t>
  </si>
  <si>
    <t>122동(고/24)</t>
  </si>
  <si>
    <t>아름다운 무등산뷰와 테라스.조합원 풀옵션.내부 아주 깨끗</t>
  </si>
  <si>
    <t>18</t>
  </si>
  <si>
    <t>120동(중/21)</t>
  </si>
  <si>
    <t>방구조오픈형,에어컨2대,허그100보장</t>
  </si>
  <si>
    <t>115동(중/31)</t>
  </si>
  <si>
    <t>119동(고/18)</t>
  </si>
  <si>
    <t>어어컨4, 김치냉장고등 내부 상태 최상</t>
  </si>
  <si>
    <t>2.3%</t>
  </si>
  <si>
    <t>-10.0%</t>
  </si>
  <si>
    <t>115동(25/31)</t>
  </si>
  <si>
    <t>로얄동 로얄층 A급, 포세린타일, 에어컨4, 줄눈등</t>
  </si>
  <si>
    <t>1.1%</t>
  </si>
  <si>
    <t>-3.2%</t>
  </si>
  <si>
    <t>119동(중/18)</t>
  </si>
  <si>
    <t>선호,실속C타입 일조채광좋음 포세린 에어컨3대 시클1 미세방충망 김냉</t>
  </si>
  <si>
    <t>4.5%</t>
  </si>
  <si>
    <t>109동(9/30)</t>
  </si>
  <si>
    <t>전세안고 가능, 시스템에어컨4 ,단지조망조음 ,</t>
  </si>
  <si>
    <t>-2.3%</t>
  </si>
  <si>
    <t>109동(중/30)</t>
  </si>
  <si>
    <t>방4개, 맞통풍4베이, 내부상태 최상, 에어컨2, 입주일 협의가능</t>
  </si>
  <si>
    <t>109동(29/30)</t>
  </si>
  <si>
    <t>4베이최상물건 각방시스템에어컨 내부관리 잘됨 매매가조정가 협의입주가</t>
  </si>
  <si>
    <t>122동(12/24)</t>
  </si>
  <si>
    <t xml:space="preserve">시스템에어컨4,포쉐린 타일 ,중문 </t>
  </si>
  <si>
    <t>111A</t>
  </si>
  <si>
    <t>102동(12/26)</t>
  </si>
  <si>
    <t>정남향 탁트인전망 무등산자이 최고의A타입,에어컨5,공청4 등 빠른입주가능</t>
  </si>
  <si>
    <t>110동(고/30)</t>
  </si>
  <si>
    <t>-20.7%</t>
  </si>
  <si>
    <t>111B</t>
  </si>
  <si>
    <t>107동(고/28)</t>
  </si>
  <si>
    <t>확트인 시티뷰 로얄층 세련된 타워형 시스템에어컨4 중문 등 내부관리잘됨</t>
  </si>
  <si>
    <t>-27.4%</t>
  </si>
  <si>
    <t>108406</t>
  </si>
  <si>
    <t>중흥영무예다음</t>
  </si>
  <si>
    <t>309</t>
  </si>
  <si>
    <t>93</t>
  </si>
  <si>
    <t>105동(9/15)</t>
  </si>
  <si>
    <t>조정가.넓게빠진구조.내부깨끗.인접생활권 매우 편리.입주협의</t>
  </si>
  <si>
    <t>-21.1%</t>
  </si>
  <si>
    <t>사정상 급매,준신축,생활권편리,시장 인접,입주일 협의가</t>
  </si>
  <si>
    <t>-27.2%</t>
  </si>
  <si>
    <t>291.5%</t>
  </si>
  <si>
    <t>127006</t>
  </si>
  <si>
    <t>제일풍경채센트럴파크1단지</t>
  </si>
  <si>
    <t>1070</t>
  </si>
  <si>
    <t>109동(24/25)</t>
  </si>
  <si>
    <t>110동(14/25)</t>
  </si>
  <si>
    <t>급매.A타입.남동향.엘베2대.시스템에어컨4대.중문.내부깨끗.</t>
  </si>
  <si>
    <t>78.9%</t>
  </si>
  <si>
    <t>108동(4/25)</t>
  </si>
  <si>
    <t>106동(14/25)</t>
  </si>
  <si>
    <t>조용한동 .단지조망맛집.내부상태최상.에어컨.중문설치.북구청전남대인근</t>
  </si>
  <si>
    <t>-25.7%</t>
  </si>
  <si>
    <t>100.0%</t>
  </si>
  <si>
    <t>141</t>
  </si>
  <si>
    <t>103동(21/21)</t>
  </si>
  <si>
    <t>l 단지상가 l  맨앞동 l 효동초 및 도서관바로 앞 l</t>
  </si>
  <si>
    <t>149243</t>
  </si>
  <si>
    <t>제일풍경채센트럴파크2단지</t>
  </si>
  <si>
    <t>486</t>
  </si>
  <si>
    <t>55B</t>
  </si>
  <si>
    <t>44</t>
  </si>
  <si>
    <t>203동(5/23)</t>
  </si>
  <si>
    <t>201동(4/25)</t>
  </si>
  <si>
    <t xml:space="preserve">
</t>
  </si>
  <si>
    <t>급매,시스템에어컨2,줄눈,탄성</t>
  </si>
  <si>
    <t>5303</t>
  </si>
  <si>
    <t>모아타운</t>
  </si>
  <si>
    <t>690</t>
  </si>
  <si>
    <t>조정가, 최상층, 남향, 수리필요함,전대정문, 일조권좋음</t>
  </si>
  <si>
    <t>-29.5%</t>
  </si>
  <si>
    <t>600.0%</t>
  </si>
  <si>
    <t>152</t>
  </si>
  <si>
    <t>106동(13/15)</t>
  </si>
  <si>
    <t>맨앞동 뻥뷰, 내부깨끗,  수리됨 ,샤시 및 통유리교체,입주일협의가</t>
  </si>
  <si>
    <t>166</t>
  </si>
  <si>
    <t>149</t>
  </si>
  <si>
    <t>170</t>
  </si>
  <si>
    <t>급매가격조정가,수리필요,맨앞동,남향,전망,일조 좋음,전남대인접</t>
  </si>
  <si>
    <t>125813</t>
  </si>
  <si>
    <t>유</t>
  </si>
  <si>
    <t>금남로대광로제비앙(주상복합)</t>
  </si>
  <si>
    <t>519</t>
  </si>
  <si>
    <t>114B2</t>
  </si>
  <si>
    <t>103동(12/36)</t>
  </si>
  <si>
    <t>확장형, 조망권  좋음,  시스템에어컨 4개 ,채광 좋음, 내부컨대션좋음</t>
  </si>
  <si>
    <t>102동(4/37)</t>
  </si>
  <si>
    <t>102동(중/37)</t>
  </si>
  <si>
    <t>앞동 급매 에어컨4대 사이조망 추천물건</t>
  </si>
  <si>
    <t>113.7%</t>
  </si>
  <si>
    <t>115B1</t>
  </si>
  <si>
    <t>103동(18/36)</t>
  </si>
  <si>
    <t>26년5월4일이후입주가,에어컨2in1설치,중문,줄눈,내부깨끗</t>
  </si>
  <si>
    <t>116C</t>
  </si>
  <si>
    <t>104동(6/36)</t>
  </si>
  <si>
    <t>103동(고/36)</t>
  </si>
  <si>
    <t>C타입 조망좋음 시스템에어컨 내부상태좋음 가경 가사동선좋음</t>
  </si>
  <si>
    <t>-24.3%</t>
  </si>
  <si>
    <t>123.9%</t>
  </si>
  <si>
    <t>135362</t>
  </si>
  <si>
    <t>임</t>
  </si>
  <si>
    <t>S-클래스더제니스(주거복합)</t>
  </si>
  <si>
    <t>2240</t>
  </si>
  <si>
    <t>138B</t>
  </si>
  <si>
    <t>194</t>
  </si>
  <si>
    <t>105동(중/39)</t>
  </si>
  <si>
    <t>조합원풀옵션,시스템에어컨4대,새집컨디션,구조조망최상</t>
  </si>
  <si>
    <t>82A</t>
  </si>
  <si>
    <t>113동(7/39)</t>
  </si>
  <si>
    <t>113동(고/39)</t>
  </si>
  <si>
    <t>급매 즉시입주가. 인덕션 에어컨4 붙박이장2 중문 단지정원조망 포베이</t>
  </si>
  <si>
    <t>11.6%</t>
  </si>
  <si>
    <t>82B</t>
  </si>
  <si>
    <t>113동(16/39)</t>
  </si>
  <si>
    <t>112동(중/39)</t>
  </si>
  <si>
    <t xml:space="preserve">59A 시스템에어컨4대 로얄층 중문 줄눈 무등산조망 최상 </t>
  </si>
  <si>
    <t>7.0%</t>
  </si>
  <si>
    <t>-18.8%</t>
  </si>
  <si>
    <t>87</t>
  </si>
  <si>
    <t>108동(중/39)</t>
  </si>
  <si>
    <t>투자적합.전세안고.지하철역상가이용 편리동.광주천뷰의 햇살좋은세대4베이</t>
  </si>
  <si>
    <t>102A</t>
  </si>
  <si>
    <t>110동(4/39)</t>
  </si>
  <si>
    <t>109동(26/39)</t>
  </si>
  <si>
    <t>포베이구조,일조채광좋음,시스템에어컨,입주일 조율 가능</t>
  </si>
  <si>
    <t>-7.7%</t>
  </si>
  <si>
    <t>25.6%</t>
  </si>
  <si>
    <t>110동(중/39)</t>
  </si>
  <si>
    <t>110동(34/39)</t>
  </si>
  <si>
    <t>로얄층  귀한타입과 전망 이면창 시스템에어컨</t>
  </si>
  <si>
    <t>-1.0%</t>
  </si>
  <si>
    <t>2.6%</t>
  </si>
  <si>
    <t>105C</t>
  </si>
  <si>
    <t>110동(35/39)</t>
  </si>
  <si>
    <t>76C 시스템에어컨2대 붙박이장2개 인덕션 무등산조망</t>
  </si>
  <si>
    <t>107동(5/39)</t>
  </si>
  <si>
    <t>인기높은 A타입 . 판상형 . 지하철 초인접로얄동 . 시스템에어컨</t>
  </si>
  <si>
    <t>-7.1%</t>
  </si>
  <si>
    <t>21.7%</t>
  </si>
  <si>
    <t>103동(중/39)</t>
  </si>
  <si>
    <t>101동(중/39)</t>
  </si>
  <si>
    <t>광주천을 바라보는 호텔뷰 . 이면창 . 모든장점을 가지고 있는 타입</t>
  </si>
  <si>
    <t>3.6%</t>
  </si>
  <si>
    <t>-9.1%</t>
  </si>
  <si>
    <t>102동(중/39)</t>
  </si>
  <si>
    <t>105동(10/39)</t>
  </si>
  <si>
    <t>시스템에어컨 . 내부깨끗함 . 신축 . 이면창 천변뷰</t>
  </si>
  <si>
    <t>30.4%</t>
  </si>
  <si>
    <t>139A</t>
  </si>
  <si>
    <t>조합세대 빌트인옵션 최상 , 로얄동 , 이면창 . 광주천 파노라마뷰</t>
  </si>
  <si>
    <t>125192</t>
  </si>
  <si>
    <t>임동중흥에스클래스센텀파크</t>
  </si>
  <si>
    <t>2021</t>
  </si>
  <si>
    <t>654</t>
  </si>
  <si>
    <t>106동(8/17)</t>
  </si>
  <si>
    <t>시스템에어컨2대, 중문, 무등산조망, 앞트임, 내부매우깨끗, 조정가</t>
  </si>
  <si>
    <t>1.2%</t>
  </si>
  <si>
    <t>108동(9/21)</t>
  </si>
  <si>
    <t>29. 조경뷰 좋음 남향,에어컨4,식세기,인덕션,중문,보호필름,간접조명</t>
  </si>
  <si>
    <t>2.9%</t>
  </si>
  <si>
    <t>단지내조망뷰 중문 작은방붙받이장 내부상태깨끗 주인세대거주 교통편리 협의가</t>
  </si>
  <si>
    <t>-6.5%</t>
  </si>
  <si>
    <t>15.4%</t>
  </si>
  <si>
    <t>104동(15/24)</t>
  </si>
  <si>
    <t>에어컨4대 중문 보호필름 브라인드 조망일조권좋음 내부상태최상 월세승계조건</t>
  </si>
  <si>
    <t>4.8%</t>
  </si>
  <si>
    <t>109동(5/19)</t>
  </si>
  <si>
    <t>24775</t>
  </si>
  <si>
    <t>한국아델리움2차</t>
  </si>
  <si>
    <t>574</t>
  </si>
  <si>
    <t>207동(4/13)</t>
  </si>
  <si>
    <t>가운데라인 거실확장형 가경.일조좋음 조용하고 생활권좋음 조정가</t>
  </si>
  <si>
    <t>203동(7/15)</t>
  </si>
  <si>
    <t>부분리모델링  거실확장형 채광환기최상 즉시입주가</t>
  </si>
  <si>
    <t>맨앞동 일조권매우좋음 확장형 상가동뷰가림없음 조정가</t>
  </si>
  <si>
    <t>108553</t>
  </si>
  <si>
    <t>임동리버파크</t>
  </si>
  <si>
    <t>548</t>
  </si>
  <si>
    <t>104동(4/15)</t>
  </si>
  <si>
    <t>가운데라인, 내부매우깨끗함</t>
  </si>
  <si>
    <t>107동(5/15)</t>
  </si>
  <si>
    <t>사정상급매 조정가 내부아주깨끗 일조최고 교통생활권편리</t>
  </si>
  <si>
    <t>113.4%</t>
  </si>
  <si>
    <t>102동(9/12)</t>
  </si>
  <si>
    <t>4.2%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</si>
</sst>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8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4.46</v>
      </c>
      <c r="U3" t="s">
        <v>45</v>
      </c>
      <c r="V3" t="s">
        <v>39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4.5</v>
      </c>
      <c r="K4" t="n" s="2">
        <v>3.2</v>
      </c>
      <c r="L4" t="n" s="2">
        <v>1.3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35</v>
      </c>
      <c r="T4" t="n" s="2">
        <v>6.16</v>
      </c>
      <c r="U4" t="s">
        <v>51</v>
      </c>
      <c r="V4" t="s">
        <v>52</v>
      </c>
      <c r="W4" t="n" s="2">
        <v>1.66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46</v>
      </c>
      <c r="H5" t="s" s="0">
        <v>57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62</v>
      </c>
      <c r="B6" t="s" s="0">
        <v>24</v>
      </c>
      <c r="C6" t="s" s="0">
        <v>63</v>
      </c>
      <c r="D6" t="s" s="0">
        <v>64</v>
      </c>
      <c r="E6" t="s" s="0">
        <v>65</v>
      </c>
      <c r="F6" t="s" s="0">
        <v>28</v>
      </c>
      <c r="G6" t="s" s="0">
        <v>66</v>
      </c>
      <c r="H6" t="s" s="0">
        <v>67</v>
      </c>
      <c r="I6" t="s" s="0">
        <v>31</v>
      </c>
      <c r="J6" t="n" s="2">
        <v>2.68</v>
      </c>
      <c r="K6" t="n" s="2">
        <v>2.4</v>
      </c>
      <c r="L6" t="n" s="2">
        <v>0.28</v>
      </c>
      <c r="M6" s="3">
        <f>IFERROR(K6/J6,0)</f>
      </c>
      <c r="N6" t="s">
        <v>68</v>
      </c>
      <c r="O6" t="s">
        <v>32</v>
      </c>
      <c r="P6" t="s">
        <v>69</v>
      </c>
      <c r="Q6" t="s">
        <v>70</v>
      </c>
      <c r="R6" t="s">
        <v>71</v>
      </c>
      <c r="S6" t="s">
        <v>32</v>
      </c>
      <c r="T6" t="n" s="2">
        <v>3.87</v>
      </c>
      <c r="U6" t="s">
        <v>72</v>
      </c>
      <c r="V6" t="s">
        <v>73</v>
      </c>
      <c r="W6" t="n" s="2">
        <v>1.19</v>
      </c>
    </row>
    <row r="7">
      <c r="A7" t="s" s="0">
        <v>62</v>
      </c>
      <c r="B7" t="s" s="0">
        <v>24</v>
      </c>
      <c r="C7" t="s" s="0">
        <v>63</v>
      </c>
      <c r="D7" t="s" s="0">
        <v>64</v>
      </c>
      <c r="E7" t="s" s="0">
        <v>65</v>
      </c>
      <c r="F7" t="s" s="0">
        <v>28</v>
      </c>
      <c r="G7" t="s" s="0">
        <v>46</v>
      </c>
      <c r="H7" t="s" s="0">
        <v>74</v>
      </c>
      <c r="I7" t="s" s="0">
        <v>31</v>
      </c>
      <c r="J7" t="n" s="2">
        <v>3.55</v>
      </c>
      <c r="K7" t="s">
        <v>33</v>
      </c>
      <c r="L7" t="s">
        <v>33</v>
      </c>
      <c r="M7" s="3">
        <f>IFERROR(K7/J7,0)</f>
      </c>
      <c r="N7" t="s">
        <v>68</v>
      </c>
      <c r="O7" t="s">
        <v>32</v>
      </c>
      <c r="P7" t="s">
        <v>75</v>
      </c>
      <c r="Q7" t="s">
        <v>33</v>
      </c>
      <c r="R7" t="s">
        <v>76</v>
      </c>
      <c r="S7" t="s">
        <v>42</v>
      </c>
      <c r="T7" t="n" s="2">
        <v>5.6</v>
      </c>
      <c r="U7" t="s">
        <v>77</v>
      </c>
      <c r="V7" t="s">
        <v>39</v>
      </c>
      <c r="W7" t="n" s="2">
        <v>2.05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65</v>
      </c>
      <c r="F8" t="s" s="0">
        <v>28</v>
      </c>
      <c r="G8" t="s" s="0">
        <v>46</v>
      </c>
      <c r="H8" t="s" s="0">
        <v>78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68</v>
      </c>
      <c r="O8" t="s">
        <v>32</v>
      </c>
      <c r="P8" t="s">
        <v>79</v>
      </c>
      <c r="Q8" t="s">
        <v>33</v>
      </c>
      <c r="R8" t="s">
        <v>80</v>
      </c>
      <c r="S8" t="s">
        <v>35</v>
      </c>
      <c r="T8" t="n" s="2">
        <v>5.6</v>
      </c>
      <c r="U8" t="s">
        <v>81</v>
      </c>
      <c r="V8" t="s">
        <v>39</v>
      </c>
      <c r="W8" t="n" s="2">
        <v>2.1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65</v>
      </c>
      <c r="F9" t="s" s="0">
        <v>28</v>
      </c>
      <c r="G9" t="s" s="0">
        <v>46</v>
      </c>
      <c r="H9" t="s" s="0">
        <v>82</v>
      </c>
      <c r="I9" t="s" s="0">
        <v>31</v>
      </c>
      <c r="J9" t="n" s="2">
        <v>3.68</v>
      </c>
      <c r="K9" t="s">
        <v>33</v>
      </c>
      <c r="L9" t="s">
        <v>33</v>
      </c>
      <c r="M9" s="3">
        <f>IFERROR(K9/J9,0)</f>
      </c>
      <c r="N9" t="s">
        <v>68</v>
      </c>
      <c r="O9" t="s">
        <v>32</v>
      </c>
      <c r="P9" t="s">
        <v>84</v>
      </c>
      <c r="Q9" t="s">
        <v>33</v>
      </c>
      <c r="R9" t="s">
        <v>85</v>
      </c>
      <c r="S9" t="s">
        <v>83</v>
      </c>
      <c r="T9" t="n" s="2">
        <v>5.6</v>
      </c>
      <c r="U9" t="s">
        <v>86</v>
      </c>
      <c r="V9" t="s">
        <v>39</v>
      </c>
      <c r="W9" t="n" s="2">
        <v>1.92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28</v>
      </c>
      <c r="G10" t="s" s="0">
        <v>46</v>
      </c>
      <c r="H10" t="s" s="0">
        <v>87</v>
      </c>
      <c r="I10" t="s" s="0">
        <v>31</v>
      </c>
      <c r="J10" t="n" s="2">
        <v>3.65</v>
      </c>
      <c r="K10" t="s">
        <v>33</v>
      </c>
      <c r="L10" t="s">
        <v>33</v>
      </c>
      <c r="M10" s="3">
        <f>IFERROR(K10/J10,0)</f>
      </c>
      <c r="N10" t="s">
        <v>68</v>
      </c>
      <c r="O10" t="s">
        <v>32</v>
      </c>
      <c r="P10" t="s">
        <v>89</v>
      </c>
      <c r="Q10" t="s">
        <v>33</v>
      </c>
      <c r="R10" t="s">
        <v>90</v>
      </c>
      <c r="S10" t="s">
        <v>88</v>
      </c>
      <c r="T10" t="n" s="2">
        <v>5.6</v>
      </c>
      <c r="U10" t="s">
        <v>91</v>
      </c>
      <c r="V10" t="s">
        <v>39</v>
      </c>
      <c r="W10" t="n" s="2">
        <v>1.95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28</v>
      </c>
      <c r="G11" t="s" s="0">
        <v>46</v>
      </c>
      <c r="H11" t="s" s="0">
        <v>92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32</v>
      </c>
      <c r="P11" t="s">
        <v>33</v>
      </c>
      <c r="Q11" t="s">
        <v>33</v>
      </c>
      <c r="R11" t="s">
        <v>33</v>
      </c>
      <c r="S11" t="s">
        <v>93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28</v>
      </c>
      <c r="G12" t="s" s="0">
        <v>46</v>
      </c>
      <c r="H12" t="s" s="0">
        <v>94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68</v>
      </c>
      <c r="O12" t="s">
        <v>32</v>
      </c>
      <c r="P12" t="s">
        <v>96</v>
      </c>
      <c r="Q12" t="s">
        <v>33</v>
      </c>
      <c r="R12" t="s">
        <v>97</v>
      </c>
      <c r="S12" t="s">
        <v>95</v>
      </c>
      <c r="T12" t="n" s="2">
        <v>5.6</v>
      </c>
      <c r="U12" t="s">
        <v>98</v>
      </c>
      <c r="V12" t="s">
        <v>39</v>
      </c>
      <c r="W12" t="n" s="2">
        <v>1.2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28</v>
      </c>
      <c r="G13" t="s" s="0">
        <v>46</v>
      </c>
      <c r="H13" t="s" s="0">
        <v>99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32</v>
      </c>
      <c r="P13" t="s">
        <v>33</v>
      </c>
      <c r="Q13" t="s">
        <v>33</v>
      </c>
      <c r="R13" t="s">
        <v>33</v>
      </c>
      <c r="S13" t="s">
        <v>100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101</v>
      </c>
      <c r="B14" t="s" s="0">
        <v>24</v>
      </c>
      <c r="C14" t="s" s="0">
        <v>63</v>
      </c>
      <c r="D14" t="s" s="0">
        <v>102</v>
      </c>
      <c r="E14" t="s" s="0">
        <v>103</v>
      </c>
      <c r="F14" t="s" s="0">
        <v>104</v>
      </c>
      <c r="G14" t="s" s="0">
        <v>46</v>
      </c>
      <c r="H14" t="s" s="0">
        <v>105</v>
      </c>
      <c r="I14" t="s" s="0">
        <v>31</v>
      </c>
      <c r="J14" t="n" s="2">
        <v>4.2</v>
      </c>
      <c r="K14" t="s">
        <v>33</v>
      </c>
      <c r="L14" t="s">
        <v>33</v>
      </c>
      <c r="M14" s="3">
        <f>IFERROR(K14/J14,0)</f>
      </c>
      <c r="N14" t="s">
        <v>29</v>
      </c>
      <c r="O14" t="s">
        <v>59</v>
      </c>
      <c r="P14" t="s">
        <v>106</v>
      </c>
      <c r="Q14" t="s">
        <v>33</v>
      </c>
      <c r="R14" t="s">
        <v>107</v>
      </c>
      <c r="S14" t="s">
        <v>32</v>
      </c>
      <c r="T14" t="n" s="2">
        <v>5.85</v>
      </c>
      <c r="U14" t="s">
        <v>108</v>
      </c>
      <c r="V14" t="s">
        <v>39</v>
      </c>
      <c r="W14" t="n" s="2">
        <v>1.65</v>
      </c>
    </row>
    <row r="15">
      <c r="A15" t="s" s="0">
        <v>109</v>
      </c>
      <c r="B15" t="s" s="0">
        <v>24</v>
      </c>
      <c r="C15" t="s" s="0">
        <v>63</v>
      </c>
      <c r="D15" t="s" s="0">
        <v>110</v>
      </c>
      <c r="E15" t="s" s="0">
        <v>111</v>
      </c>
      <c r="F15" t="s" s="0">
        <v>112</v>
      </c>
      <c r="G15" t="s" s="0">
        <v>34</v>
      </c>
      <c r="H15" t="s" s="0">
        <v>113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114</v>
      </c>
      <c r="O15" t="s">
        <v>59</v>
      </c>
      <c r="P15" t="s">
        <v>115</v>
      </c>
      <c r="Q15" t="s">
        <v>33</v>
      </c>
      <c r="R15" t="s">
        <v>116</v>
      </c>
      <c r="S15" t="s">
        <v>32</v>
      </c>
      <c r="T15" t="n" s="2">
        <v>4.268</v>
      </c>
      <c r="U15" t="s">
        <v>117</v>
      </c>
      <c r="V15" t="s">
        <v>39</v>
      </c>
      <c r="W15" t="n" s="2">
        <v>-0.03</v>
      </c>
    </row>
    <row r="16">
      <c r="A16" t="s" s="0">
        <v>109</v>
      </c>
      <c r="B16" t="s" s="0">
        <v>24</v>
      </c>
      <c r="C16" t="s" s="0">
        <v>63</v>
      </c>
      <c r="D16" t="s" s="0">
        <v>110</v>
      </c>
      <c r="E16" t="s" s="0">
        <v>111</v>
      </c>
      <c r="F16" t="s" s="0">
        <v>112</v>
      </c>
      <c r="G16" t="s" s="0">
        <v>46</v>
      </c>
      <c r="H16" t="s" s="0">
        <v>105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59</v>
      </c>
      <c r="P16" t="s">
        <v>118</v>
      </c>
      <c r="Q16" t="s">
        <v>33</v>
      </c>
      <c r="R16" t="s">
        <v>119</v>
      </c>
      <c r="S16" t="s">
        <v>42</v>
      </c>
      <c r="T16" t="n" s="2">
        <v>5.327</v>
      </c>
      <c r="U16" t="s">
        <v>120</v>
      </c>
      <c r="V16" t="s">
        <v>39</v>
      </c>
      <c r="W16" t="n" s="2">
        <v>0.53</v>
      </c>
    </row>
    <row r="17">
      <c r="A17" t="s" s="0">
        <v>121</v>
      </c>
      <c r="B17" t="s" s="0">
        <v>24</v>
      </c>
      <c r="C17" t="s" s="0">
        <v>63</v>
      </c>
      <c r="D17" t="s" s="0">
        <v>122</v>
      </c>
      <c r="E17" t="s" s="0">
        <v>111</v>
      </c>
      <c r="F17" t="s" s="0">
        <v>123</v>
      </c>
      <c r="G17" t="s" s="0">
        <v>34</v>
      </c>
      <c r="H17" t="s" s="0">
        <v>113</v>
      </c>
      <c r="I17" t="s" s="0">
        <v>31</v>
      </c>
      <c r="J17" t="n" s="2">
        <v>4.3</v>
      </c>
      <c r="K17" t="s">
        <v>33</v>
      </c>
      <c r="L17" t="s">
        <v>33</v>
      </c>
      <c r="M17" s="3">
        <f>IFERROR(K17/J17,0)</f>
      </c>
      <c r="N17" t="s">
        <v>124</v>
      </c>
      <c r="O17" t="s">
        <v>32</v>
      </c>
      <c r="P17" t="s">
        <v>125</v>
      </c>
      <c r="Q17" t="s">
        <v>33</v>
      </c>
      <c r="R17" t="s">
        <v>126</v>
      </c>
      <c r="S17" t="s">
        <v>32</v>
      </c>
      <c r="T17" t="n" s="2">
        <v>4.386</v>
      </c>
      <c r="U17" t="s">
        <v>127</v>
      </c>
      <c r="V17" t="s">
        <v>39</v>
      </c>
      <c r="W17" t="n" s="2">
        <v>0.09</v>
      </c>
    </row>
    <row r="18">
      <c r="A18" t="s" s="0">
        <v>121</v>
      </c>
      <c r="B18" t="s" s="0">
        <v>24</v>
      </c>
      <c r="C18" t="s" s="0">
        <v>63</v>
      </c>
      <c r="D18" t="s" s="0">
        <v>122</v>
      </c>
      <c r="E18" t="s" s="0">
        <v>111</v>
      </c>
      <c r="F18" t="s" s="0">
        <v>123</v>
      </c>
      <c r="G18" t="s" s="0">
        <v>68</v>
      </c>
      <c r="H18" t="s" s="0">
        <v>128</v>
      </c>
      <c r="I18" t="s" s="0">
        <v>31</v>
      </c>
      <c r="J18" t="n" s="2">
        <v>4.85</v>
      </c>
      <c r="K18" t="s">
        <v>33</v>
      </c>
      <c r="L18" t="s">
        <v>33</v>
      </c>
      <c r="M18" s="3">
        <f>IFERROR(K18/J18,0)</f>
      </c>
      <c r="N18" t="s">
        <v>124</v>
      </c>
      <c r="O18" t="s">
        <v>32</v>
      </c>
      <c r="P18" t="s">
        <v>129</v>
      </c>
      <c r="Q18" t="s">
        <v>33</v>
      </c>
      <c r="R18" t="s">
        <v>130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121</v>
      </c>
      <c r="B19" t="s" s="0">
        <v>24</v>
      </c>
      <c r="C19" t="s" s="0">
        <v>63</v>
      </c>
      <c r="D19" t="s" s="0">
        <v>122</v>
      </c>
      <c r="E19" t="s" s="0">
        <v>111</v>
      </c>
      <c r="F19" t="s" s="0">
        <v>123</v>
      </c>
      <c r="G19" t="s" s="0">
        <v>46</v>
      </c>
      <c r="H19" t="s" s="0">
        <v>105</v>
      </c>
      <c r="I19" t="s" s="0">
        <v>31</v>
      </c>
      <c r="J19" t="n" s="2">
        <v>4.63</v>
      </c>
      <c r="K19" t="n" s="2">
        <v>3.0</v>
      </c>
      <c r="L19" t="n" s="2">
        <v>1.63</v>
      </c>
      <c r="M19" s="3">
        <f>IFERROR(K19/J19,0)</f>
      </c>
      <c r="N19" t="s">
        <v>124</v>
      </c>
      <c r="O19" t="s">
        <v>32</v>
      </c>
      <c r="P19" t="s">
        <v>131</v>
      </c>
      <c r="Q19" t="s">
        <v>132</v>
      </c>
      <c r="R19" t="s">
        <v>133</v>
      </c>
      <c r="S19" t="s">
        <v>35</v>
      </c>
      <c r="T19" t="n" s="2">
        <v>5.1</v>
      </c>
      <c r="U19" t="s">
        <v>134</v>
      </c>
      <c r="V19" t="s">
        <v>135</v>
      </c>
      <c r="W19" t="n" s="2">
        <v>0.47</v>
      </c>
    </row>
    <row r="20">
      <c r="A20" t="s" s="0">
        <v>136</v>
      </c>
      <c r="B20" t="s" s="0">
        <v>24</v>
      </c>
      <c r="C20" t="s" s="0">
        <v>63</v>
      </c>
      <c r="D20" t="s" s="0">
        <v>137</v>
      </c>
      <c r="E20" t="s" s="0">
        <v>138</v>
      </c>
      <c r="F20" t="s" s="0">
        <v>139</v>
      </c>
      <c r="G20" t="s" s="0">
        <v>66</v>
      </c>
      <c r="H20" t="s" s="0">
        <v>68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140</v>
      </c>
      <c r="O20" t="s">
        <v>59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39</v>
      </c>
      <c r="V20" t="s">
        <v>39</v>
      </c>
      <c r="W20" t="s">
        <v>39</v>
      </c>
    </row>
    <row r="21">
      <c r="A21" t="s" s="0">
        <v>136</v>
      </c>
      <c r="B21" t="s" s="0">
        <v>24</v>
      </c>
      <c r="C21" t="s" s="0">
        <v>63</v>
      </c>
      <c r="D21" t="s" s="0">
        <v>137</v>
      </c>
      <c r="E21" t="s" s="0">
        <v>138</v>
      </c>
      <c r="F21" t="s" s="0">
        <v>139</v>
      </c>
      <c r="G21" t="s" s="0">
        <v>66</v>
      </c>
      <c r="H21" t="s" s="0">
        <v>141</v>
      </c>
      <c r="I21" t="s" s="0">
        <v>142</v>
      </c>
      <c r="J21" t="n" s="2">
        <v>1.29</v>
      </c>
      <c r="K21" t="s">
        <v>33</v>
      </c>
      <c r="L21" t="s">
        <v>33</v>
      </c>
      <c r="M21" s="3">
        <f>IFERROR(K21/J21,0)</f>
      </c>
      <c r="N21" t="s">
        <v>140</v>
      </c>
      <c r="O21" t="s">
        <v>59</v>
      </c>
      <c r="P21" t="s">
        <v>143</v>
      </c>
      <c r="Q21" t="s">
        <v>33</v>
      </c>
      <c r="R21" t="s">
        <v>144</v>
      </c>
      <c r="S21" t="s">
        <v>42</v>
      </c>
      <c r="T21" t="n" s="2">
        <v>2.13</v>
      </c>
      <c r="U21" t="s">
        <v>145</v>
      </c>
      <c r="V21" t="s">
        <v>39</v>
      </c>
      <c r="W21" t="n" s="2">
        <v>0.84</v>
      </c>
    </row>
    <row r="22">
      <c r="A22" t="s" s="0">
        <v>146</v>
      </c>
      <c r="B22" t="s" s="0">
        <v>24</v>
      </c>
      <c r="C22" t="s" s="0">
        <v>147</v>
      </c>
      <c r="D22" t="s" s="0">
        <v>148</v>
      </c>
      <c r="E22" t="s" s="0">
        <v>111</v>
      </c>
      <c r="F22" t="s" s="0">
        <v>149</v>
      </c>
      <c r="G22" t="s" s="0">
        <v>150</v>
      </c>
      <c r="H22" t="s" s="0">
        <v>151</v>
      </c>
      <c r="I22" t="s" s="0">
        <v>31</v>
      </c>
      <c r="J22" t="n" s="2">
        <v>5.3</v>
      </c>
      <c r="K22" t="s">
        <v>33</v>
      </c>
      <c r="L22" t="s">
        <v>33</v>
      </c>
      <c r="M22" s="3">
        <f>IFERROR(K22/J22,0)</f>
      </c>
      <c r="N22" t="s">
        <v>152</v>
      </c>
      <c r="O22" t="s">
        <v>153</v>
      </c>
      <c r="P22" t="s">
        <v>154</v>
      </c>
      <c r="Q22" t="s">
        <v>33</v>
      </c>
      <c r="R22" t="s">
        <v>155</v>
      </c>
      <c r="S22" t="s">
        <v>32</v>
      </c>
      <c r="T22" t="n" s="2">
        <v>3.5</v>
      </c>
      <c r="U22" t="s">
        <v>156</v>
      </c>
      <c r="V22" t="s">
        <v>39</v>
      </c>
      <c r="W22" t="n" s="2">
        <v>-1.8</v>
      </c>
    </row>
    <row r="23">
      <c r="A23" t="s" s="0">
        <v>146</v>
      </c>
      <c r="B23" t="s" s="0">
        <v>24</v>
      </c>
      <c r="C23" t="s" s="0">
        <v>147</v>
      </c>
      <c r="D23" t="s" s="0">
        <v>148</v>
      </c>
      <c r="E23" t="s" s="0">
        <v>111</v>
      </c>
      <c r="F23" t="s" s="0">
        <v>149</v>
      </c>
      <c r="G23" t="s" s="0">
        <v>46</v>
      </c>
      <c r="H23" t="s" s="0">
        <v>157</v>
      </c>
      <c r="I23" t="s" s="0">
        <v>31</v>
      </c>
      <c r="J23" t="n" s="2">
        <v>5.8</v>
      </c>
      <c r="K23" t="n" s="2">
        <v>3.6</v>
      </c>
      <c r="L23" t="n" s="2">
        <v>2.2</v>
      </c>
      <c r="M23" s="3">
        <f>IFERROR(K23/J23,0)</f>
      </c>
      <c r="N23" t="s">
        <v>152</v>
      </c>
      <c r="O23" t="s">
        <v>153</v>
      </c>
      <c r="P23" t="s">
        <v>158</v>
      </c>
      <c r="Q23" t="s">
        <v>158</v>
      </c>
      <c r="R23" t="s">
        <v>159</v>
      </c>
      <c r="S23" t="s">
        <v>42</v>
      </c>
      <c r="T23" t="n" s="2">
        <v>4.4</v>
      </c>
      <c r="U23" t="s">
        <v>160</v>
      </c>
      <c r="V23" t="s">
        <v>161</v>
      </c>
      <c r="W23" t="n" s="2">
        <v>-1.4</v>
      </c>
    </row>
    <row r="24">
      <c r="A24" t="s" s="0">
        <v>146</v>
      </c>
      <c r="B24" t="s" s="0">
        <v>24</v>
      </c>
      <c r="C24" t="s" s="0">
        <v>147</v>
      </c>
      <c r="D24" t="s" s="0">
        <v>148</v>
      </c>
      <c r="E24" t="s" s="0">
        <v>111</v>
      </c>
      <c r="F24" t="s" s="0">
        <v>149</v>
      </c>
      <c r="G24" t="s" s="0">
        <v>46</v>
      </c>
      <c r="H24" t="s" s="0">
        <v>162</v>
      </c>
      <c r="I24" t="s" s="0">
        <v>31</v>
      </c>
      <c r="J24" t="n" s="2">
        <v>5.6</v>
      </c>
      <c r="K24" t="n" s="2">
        <v>3.5</v>
      </c>
      <c r="L24" t="n" s="2">
        <v>2.1</v>
      </c>
      <c r="M24" s="3">
        <f>IFERROR(K24/J24,0)</f>
      </c>
      <c r="N24" t="s">
        <v>152</v>
      </c>
      <c r="O24" t="s">
        <v>153</v>
      </c>
      <c r="P24" t="s">
        <v>163</v>
      </c>
      <c r="Q24" t="s">
        <v>164</v>
      </c>
      <c r="R24" t="s">
        <v>165</v>
      </c>
      <c r="S24" t="s">
        <v>35</v>
      </c>
      <c r="T24" t="n" s="2">
        <v>4.4</v>
      </c>
      <c r="U24" t="s">
        <v>166</v>
      </c>
      <c r="V24" t="s">
        <v>167</v>
      </c>
      <c r="W24" t="n" s="2">
        <v>-1.2</v>
      </c>
    </row>
    <row r="25">
      <c r="A25" t="s" s="0">
        <v>146</v>
      </c>
      <c r="B25" t="s" s="0">
        <v>24</v>
      </c>
      <c r="C25" t="s" s="0">
        <v>147</v>
      </c>
      <c r="D25" t="s" s="0">
        <v>148</v>
      </c>
      <c r="E25" t="s" s="0">
        <v>111</v>
      </c>
      <c r="F25" t="s" s="0">
        <v>149</v>
      </c>
      <c r="G25" t="s" s="0">
        <v>46</v>
      </c>
      <c r="H25" t="s" s="0">
        <v>168</v>
      </c>
      <c r="I25" t="s" s="0">
        <v>31</v>
      </c>
      <c r="J25" t="n" s="2">
        <v>5.8</v>
      </c>
      <c r="K25" t="n" s="2">
        <v>3.1</v>
      </c>
      <c r="L25" t="n" s="2">
        <v>2.7</v>
      </c>
      <c r="M25" s="3">
        <f>IFERROR(K25/J25,0)</f>
      </c>
      <c r="N25" t="s">
        <v>152</v>
      </c>
      <c r="O25" t="s">
        <v>153</v>
      </c>
      <c r="P25" t="s">
        <v>169</v>
      </c>
      <c r="Q25" t="s">
        <v>170</v>
      </c>
      <c r="R25" t="s">
        <v>171</v>
      </c>
      <c r="S25" t="s">
        <v>83</v>
      </c>
      <c r="T25" t="n" s="2">
        <v>4.4</v>
      </c>
      <c r="U25" t="s">
        <v>160</v>
      </c>
      <c r="V25" t="s">
        <v>172</v>
      </c>
      <c r="W25" t="n" s="2">
        <v>-1.4</v>
      </c>
    </row>
    <row r="26">
      <c r="A26" t="s" s="0">
        <v>146</v>
      </c>
      <c r="B26" t="s" s="0">
        <v>24</v>
      </c>
      <c r="C26" t="s" s="0">
        <v>147</v>
      </c>
      <c r="D26" t="s" s="0">
        <v>148</v>
      </c>
      <c r="E26" t="s" s="0">
        <v>111</v>
      </c>
      <c r="F26" t="s" s="0">
        <v>149</v>
      </c>
      <c r="G26" t="s" s="0">
        <v>46</v>
      </c>
      <c r="H26" t="s" s="0">
        <v>173</v>
      </c>
      <c r="I26" t="s" s="0">
        <v>31</v>
      </c>
      <c r="J26" t="n" s="2">
        <v>5.75</v>
      </c>
      <c r="K26" t="n" s="2">
        <v>3.9</v>
      </c>
      <c r="L26" t="n" s="2">
        <v>1.85</v>
      </c>
      <c r="M26" s="3">
        <f>IFERROR(K26/J26,0)</f>
      </c>
      <c r="N26" t="s">
        <v>152</v>
      </c>
      <c r="O26" t="s">
        <v>153</v>
      </c>
      <c r="P26" t="s">
        <v>174</v>
      </c>
      <c r="Q26" t="s">
        <v>175</v>
      </c>
      <c r="R26" t="s">
        <v>176</v>
      </c>
      <c r="S26" t="s">
        <v>88</v>
      </c>
      <c r="T26" t="n" s="2">
        <v>4.4</v>
      </c>
      <c r="U26" t="s">
        <v>177</v>
      </c>
      <c r="V26" t="s">
        <v>178</v>
      </c>
      <c r="W26" t="n" s="2">
        <v>-1.35</v>
      </c>
    </row>
    <row r="27">
      <c r="A27" t="s" s="0">
        <v>146</v>
      </c>
      <c r="B27" t="s" s="0">
        <v>24</v>
      </c>
      <c r="C27" t="s" s="0">
        <v>147</v>
      </c>
      <c r="D27" t="s" s="0">
        <v>148</v>
      </c>
      <c r="E27" t="s" s="0">
        <v>111</v>
      </c>
      <c r="F27" t="s" s="0">
        <v>149</v>
      </c>
      <c r="G27" t="s" s="0">
        <v>179</v>
      </c>
      <c r="H27" t="s" s="0">
        <v>180</v>
      </c>
      <c r="I27" t="s" s="0">
        <v>181</v>
      </c>
      <c r="J27" t="n" s="2">
        <v>7.45</v>
      </c>
      <c r="K27" t="n" s="2">
        <v>5.0</v>
      </c>
      <c r="L27" t="n" s="2">
        <v>2.45</v>
      </c>
      <c r="M27" s="3">
        <f>IFERROR(K27/J27,0)</f>
      </c>
      <c r="N27" t="s">
        <v>152</v>
      </c>
      <c r="O27" t="s">
        <v>153</v>
      </c>
      <c r="P27" t="s">
        <v>182</v>
      </c>
      <c r="Q27" t="s">
        <v>183</v>
      </c>
      <c r="R27" t="s">
        <v>184</v>
      </c>
      <c r="S27" t="s">
        <v>93</v>
      </c>
      <c r="U27" t="s">
        <v>39</v>
      </c>
      <c r="V27" t="s">
        <v>39</v>
      </c>
      <c r="W27" t="s">
        <v>39</v>
      </c>
    </row>
    <row r="28">
      <c r="A28" t="s" s="0">
        <v>146</v>
      </c>
      <c r="B28" t="s" s="0">
        <v>24</v>
      </c>
      <c r="C28" t="s" s="0">
        <v>147</v>
      </c>
      <c r="D28" t="s" s="0">
        <v>148</v>
      </c>
      <c r="E28" t="s" s="0">
        <v>111</v>
      </c>
      <c r="F28" t="s" s="0">
        <v>149</v>
      </c>
      <c r="G28" t="s" s="0">
        <v>185</v>
      </c>
      <c r="H28" t="s" s="0">
        <v>186</v>
      </c>
      <c r="I28" t="s" s="0">
        <v>187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152</v>
      </c>
      <c r="O28" t="s">
        <v>153</v>
      </c>
      <c r="P28" t="s">
        <v>33</v>
      </c>
      <c r="Q28" t="s">
        <v>33</v>
      </c>
      <c r="R28" t="s">
        <v>33</v>
      </c>
      <c r="S28" t="s">
        <v>95</v>
      </c>
      <c r="U28" t="s">
        <v>39</v>
      </c>
      <c r="V28" t="s">
        <v>39</v>
      </c>
      <c r="W28" t="s">
        <v>39</v>
      </c>
    </row>
    <row r="29">
      <c r="A29" t="s" s="0">
        <v>146</v>
      </c>
      <c r="B29" t="s" s="0">
        <v>24</v>
      </c>
      <c r="C29" t="s" s="0">
        <v>147</v>
      </c>
      <c r="D29" t="s" s="0">
        <v>148</v>
      </c>
      <c r="E29" t="s" s="0">
        <v>111</v>
      </c>
      <c r="F29" t="s" s="0">
        <v>149</v>
      </c>
      <c r="G29" t="s" s="0">
        <v>150</v>
      </c>
      <c r="H29" t="s" s="0">
        <v>188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152</v>
      </c>
      <c r="O29" t="s">
        <v>153</v>
      </c>
      <c r="P29" t="s">
        <v>33</v>
      </c>
      <c r="Q29" t="s">
        <v>33</v>
      </c>
      <c r="R29" t="s">
        <v>33</v>
      </c>
      <c r="S29" t="s">
        <v>100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189</v>
      </c>
      <c r="B30" t="s" s="0">
        <v>24</v>
      </c>
      <c r="C30" t="s" s="0">
        <v>147</v>
      </c>
      <c r="D30" t="s" s="0">
        <v>190</v>
      </c>
      <c r="E30" t="s" s="0">
        <v>138</v>
      </c>
      <c r="F30" t="s" s="0">
        <v>191</v>
      </c>
      <c r="G30" t="s" s="0">
        <v>192</v>
      </c>
      <c r="H30" t="s" s="0">
        <v>193</v>
      </c>
      <c r="I30" t="s" s="0">
        <v>194</v>
      </c>
      <c r="J30" t="n" s="2">
        <v>1.17</v>
      </c>
      <c r="K30" t="s">
        <v>33</v>
      </c>
      <c r="L30" t="s">
        <v>33</v>
      </c>
      <c r="M30" s="3">
        <f>IFERROR(K30/J30,0)</f>
      </c>
      <c r="N30" t="s">
        <v>195</v>
      </c>
      <c r="O30" t="s">
        <v>42</v>
      </c>
      <c r="P30" t="s">
        <v>196</v>
      </c>
      <c r="Q30" t="s">
        <v>33</v>
      </c>
      <c r="R30" t="s">
        <v>197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189</v>
      </c>
      <c r="B31" t="s" s="0">
        <v>24</v>
      </c>
      <c r="C31" t="s" s="0">
        <v>147</v>
      </c>
      <c r="D31" t="s" s="0">
        <v>190</v>
      </c>
      <c r="E31" t="s" s="0">
        <v>138</v>
      </c>
      <c r="F31" t="s" s="0">
        <v>191</v>
      </c>
      <c r="G31" t="s" s="0">
        <v>66</v>
      </c>
      <c r="H31" t="s" s="0">
        <v>67</v>
      </c>
      <c r="I31" t="s" s="0">
        <v>198</v>
      </c>
      <c r="J31" t="n" s="2">
        <v>1.45</v>
      </c>
      <c r="K31" t="s">
        <v>33</v>
      </c>
      <c r="L31" t="s">
        <v>33</v>
      </c>
      <c r="M31" s="3">
        <f>IFERROR(K31/J31,0)</f>
      </c>
      <c r="N31" t="s">
        <v>195</v>
      </c>
      <c r="O31" t="s">
        <v>42</v>
      </c>
      <c r="P31" t="s">
        <v>199</v>
      </c>
      <c r="Q31" t="s">
        <v>33</v>
      </c>
      <c r="R31" t="s">
        <v>200</v>
      </c>
      <c r="S31" t="s">
        <v>42</v>
      </c>
      <c r="T31" t="n" s="2">
        <v>2.1</v>
      </c>
      <c r="U31" t="s">
        <v>201</v>
      </c>
      <c r="V31" t="s">
        <v>39</v>
      </c>
      <c r="W31" t="n" s="2">
        <v>0.65</v>
      </c>
    </row>
    <row r="32">
      <c r="A32" t="s" s="0">
        <v>189</v>
      </c>
      <c r="B32" t="s" s="0">
        <v>24</v>
      </c>
      <c r="C32" t="s" s="0">
        <v>147</v>
      </c>
      <c r="D32" t="s" s="0">
        <v>190</v>
      </c>
      <c r="E32" t="s" s="0">
        <v>138</v>
      </c>
      <c r="F32" t="s" s="0">
        <v>191</v>
      </c>
      <c r="G32" t="s" s="0">
        <v>66</v>
      </c>
      <c r="H32" t="s" s="0">
        <v>202</v>
      </c>
      <c r="I32" t="s" s="0">
        <v>198</v>
      </c>
      <c r="J32" t="n" s="2">
        <v>1.55</v>
      </c>
      <c r="K32" t="n" s="2">
        <v>1.3</v>
      </c>
      <c r="L32" t="n" s="2">
        <v>0.25</v>
      </c>
      <c r="M32" s="3">
        <f>IFERROR(K32/J32,0)</f>
      </c>
      <c r="N32" t="s">
        <v>195</v>
      </c>
      <c r="O32" t="s">
        <v>42</v>
      </c>
      <c r="P32" t="s">
        <v>203</v>
      </c>
      <c r="Q32" t="s">
        <v>204</v>
      </c>
      <c r="R32" t="s">
        <v>205</v>
      </c>
      <c r="S32" t="s">
        <v>35</v>
      </c>
      <c r="T32" t="n" s="2">
        <v>2.1</v>
      </c>
      <c r="U32" t="s">
        <v>206</v>
      </c>
      <c r="V32" t="s">
        <v>207</v>
      </c>
      <c r="W32" t="n" s="2">
        <v>0.55</v>
      </c>
    </row>
    <row r="33">
      <c r="A33" t="s" s="0">
        <v>189</v>
      </c>
      <c r="B33" t="s" s="0">
        <v>24</v>
      </c>
      <c r="C33" t="s" s="0">
        <v>147</v>
      </c>
      <c r="D33" t="s" s="0">
        <v>190</v>
      </c>
      <c r="E33" t="s" s="0">
        <v>138</v>
      </c>
      <c r="F33" t="s" s="0">
        <v>191</v>
      </c>
      <c r="G33" t="s" s="0">
        <v>66</v>
      </c>
      <c r="H33" t="s" s="0">
        <v>208</v>
      </c>
      <c r="I33" t="s" s="0">
        <v>198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195</v>
      </c>
      <c r="O33" t="s">
        <v>42</v>
      </c>
      <c r="P33" t="s">
        <v>33</v>
      </c>
      <c r="Q33" t="s">
        <v>33</v>
      </c>
      <c r="R33" t="s">
        <v>33</v>
      </c>
      <c r="S33" t="s">
        <v>83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189</v>
      </c>
      <c r="B34" t="s" s="0">
        <v>24</v>
      </c>
      <c r="C34" t="s" s="0">
        <v>147</v>
      </c>
      <c r="D34" t="s" s="0">
        <v>190</v>
      </c>
      <c r="E34" t="s" s="0">
        <v>138</v>
      </c>
      <c r="F34" t="s" s="0">
        <v>191</v>
      </c>
      <c r="G34" t="s" s="0">
        <v>66</v>
      </c>
      <c r="H34" t="s" s="0">
        <v>209</v>
      </c>
      <c r="I34" t="s" s="0">
        <v>198</v>
      </c>
      <c r="J34" t="n" s="2">
        <v>1.49</v>
      </c>
      <c r="K34" t="s">
        <v>33</v>
      </c>
      <c r="L34" t="s">
        <v>33</v>
      </c>
      <c r="M34" s="3">
        <f>IFERROR(K34/J34,0)</f>
      </c>
      <c r="N34" t="s">
        <v>195</v>
      </c>
      <c r="O34" t="s">
        <v>42</v>
      </c>
      <c r="P34" t="s">
        <v>210</v>
      </c>
      <c r="Q34" t="s">
        <v>33</v>
      </c>
      <c r="R34" t="s">
        <v>211</v>
      </c>
      <c r="S34" t="s">
        <v>88</v>
      </c>
      <c r="T34" t="n" s="2">
        <v>2.1</v>
      </c>
      <c r="U34" t="s">
        <v>212</v>
      </c>
      <c r="V34" t="s">
        <v>39</v>
      </c>
      <c r="W34" t="n" s="2">
        <v>0.61</v>
      </c>
    </row>
    <row r="35">
      <c r="A35" t="s" s="0">
        <v>189</v>
      </c>
      <c r="B35" t="s" s="0">
        <v>24</v>
      </c>
      <c r="C35" t="s" s="0">
        <v>147</v>
      </c>
      <c r="D35" t="s" s="0">
        <v>190</v>
      </c>
      <c r="E35" t="s" s="0">
        <v>138</v>
      </c>
      <c r="F35" t="s" s="0">
        <v>191</v>
      </c>
      <c r="G35" t="s" s="0">
        <v>66</v>
      </c>
      <c r="H35" t="s" s="0">
        <v>213</v>
      </c>
      <c r="I35" t="s" s="0">
        <v>198</v>
      </c>
      <c r="J35" t="n" s="2">
        <v>1.45</v>
      </c>
      <c r="K35" t="s">
        <v>33</v>
      </c>
      <c r="L35" t="s">
        <v>33</v>
      </c>
      <c r="M35" s="3">
        <f>IFERROR(K35/J35,0)</f>
      </c>
      <c r="N35" t="s">
        <v>195</v>
      </c>
      <c r="O35" t="s">
        <v>42</v>
      </c>
      <c r="P35" t="s">
        <v>214</v>
      </c>
      <c r="Q35" t="s">
        <v>33</v>
      </c>
      <c r="R35" t="s">
        <v>215</v>
      </c>
      <c r="S35" t="s">
        <v>93</v>
      </c>
      <c r="T35" t="n" s="2">
        <v>2.1</v>
      </c>
      <c r="U35" t="s">
        <v>201</v>
      </c>
      <c r="V35" t="s">
        <v>39</v>
      </c>
      <c r="W35" t="n" s="2">
        <v>0.65</v>
      </c>
    </row>
    <row r="36">
      <c r="A36" t="s" s="0">
        <v>189</v>
      </c>
      <c r="B36" t="s" s="0">
        <v>24</v>
      </c>
      <c r="C36" t="s" s="0">
        <v>147</v>
      </c>
      <c r="D36" t="s" s="0">
        <v>190</v>
      </c>
      <c r="E36" t="s" s="0">
        <v>138</v>
      </c>
      <c r="F36" t="s" s="0">
        <v>191</v>
      </c>
      <c r="G36" t="s" s="0">
        <v>66</v>
      </c>
      <c r="H36" t="s" s="0">
        <v>216</v>
      </c>
      <c r="I36" t="s" s="0">
        <v>198</v>
      </c>
      <c r="J36" t="n" s="2">
        <v>1.42</v>
      </c>
      <c r="K36" t="s">
        <v>33</v>
      </c>
      <c r="L36" t="s">
        <v>33</v>
      </c>
      <c r="M36" s="3">
        <f>IFERROR(K36/J36,0)</f>
      </c>
      <c r="N36" t="s">
        <v>195</v>
      </c>
      <c r="O36" t="s">
        <v>42</v>
      </c>
      <c r="P36" t="s">
        <v>217</v>
      </c>
      <c r="Q36" t="s">
        <v>33</v>
      </c>
      <c r="R36" t="s">
        <v>218</v>
      </c>
      <c r="S36" t="s">
        <v>95</v>
      </c>
      <c r="T36" t="n" s="2">
        <v>2.1</v>
      </c>
      <c r="U36" t="s">
        <v>219</v>
      </c>
      <c r="V36" t="s">
        <v>39</v>
      </c>
      <c r="W36" t="n" s="2">
        <v>0.68</v>
      </c>
    </row>
    <row r="37">
      <c r="A37" t="s" s="0">
        <v>220</v>
      </c>
      <c r="B37" t="s" s="0">
        <v>24</v>
      </c>
      <c r="C37" t="s" s="0">
        <v>147</v>
      </c>
      <c r="D37" t="s" s="0">
        <v>221</v>
      </c>
      <c r="E37" t="s" s="0">
        <v>222</v>
      </c>
      <c r="F37" t="s" s="0">
        <v>223</v>
      </c>
      <c r="G37" t="s" s="0">
        <v>224</v>
      </c>
      <c r="H37" t="s" s="0">
        <v>225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150</v>
      </c>
      <c r="O37" t="s">
        <v>42</v>
      </c>
      <c r="P37" t="s">
        <v>226</v>
      </c>
      <c r="Q37" t="s">
        <v>33</v>
      </c>
      <c r="R37" t="s">
        <v>227</v>
      </c>
      <c r="S37" t="s">
        <v>32</v>
      </c>
      <c r="T37" t="n" s="2">
        <v>4.95</v>
      </c>
      <c r="U37" t="s">
        <v>228</v>
      </c>
      <c r="V37" t="s">
        <v>39</v>
      </c>
      <c r="W37" t="n" s="2">
        <v>1.45</v>
      </c>
    </row>
    <row r="38">
      <c r="A38" t="s" s="0">
        <v>220</v>
      </c>
      <c r="B38" t="s" s="0">
        <v>24</v>
      </c>
      <c r="C38" t="s" s="0">
        <v>147</v>
      </c>
      <c r="D38" t="s" s="0">
        <v>221</v>
      </c>
      <c r="E38" t="s" s="0">
        <v>222</v>
      </c>
      <c r="F38" t="s" s="0">
        <v>223</v>
      </c>
      <c r="G38" t="s" s="0">
        <v>224</v>
      </c>
      <c r="H38" t="s" s="0">
        <v>229</v>
      </c>
      <c r="I38" t="s" s="0">
        <v>31</v>
      </c>
      <c r="J38" t="n" s="2">
        <v>3.25</v>
      </c>
      <c r="K38" t="s">
        <v>33</v>
      </c>
      <c r="L38" t="s">
        <v>33</v>
      </c>
      <c r="M38" s="3">
        <f>IFERROR(K38/J38,0)</f>
      </c>
      <c r="N38" t="s">
        <v>150</v>
      </c>
      <c r="O38" t="s">
        <v>42</v>
      </c>
      <c r="P38" t="s">
        <v>230</v>
      </c>
      <c r="Q38" t="s">
        <v>33</v>
      </c>
      <c r="R38" t="s">
        <v>231</v>
      </c>
      <c r="S38" t="s">
        <v>42</v>
      </c>
      <c r="T38" t="n" s="2">
        <v>4.95</v>
      </c>
      <c r="U38" t="s">
        <v>86</v>
      </c>
      <c r="V38" t="s">
        <v>39</v>
      </c>
      <c r="W38" t="n" s="2">
        <v>1.7</v>
      </c>
    </row>
    <row r="39">
      <c r="A39" t="s" s="0">
        <v>220</v>
      </c>
      <c r="B39" t="s" s="0">
        <v>24</v>
      </c>
      <c r="C39" t="s" s="0">
        <v>147</v>
      </c>
      <c r="D39" t="s" s="0">
        <v>221</v>
      </c>
      <c r="E39" t="s" s="0">
        <v>222</v>
      </c>
      <c r="F39" t="s" s="0">
        <v>223</v>
      </c>
      <c r="G39" t="s" s="0">
        <v>46</v>
      </c>
      <c r="H39" t="s" s="0">
        <v>232</v>
      </c>
      <c r="I39" t="s" s="0">
        <v>31</v>
      </c>
      <c r="J39" t="n" s="2">
        <v>4.45</v>
      </c>
      <c r="K39" t="n" s="2">
        <v>3.9</v>
      </c>
      <c r="L39" t="n" s="2">
        <v>0.55</v>
      </c>
      <c r="M39" s="3">
        <f>IFERROR(K39/J39,0)</f>
      </c>
      <c r="N39" t="s">
        <v>150</v>
      </c>
      <c r="O39" t="s">
        <v>42</v>
      </c>
      <c r="P39" t="s">
        <v>233</v>
      </c>
      <c r="Q39" t="s">
        <v>234</v>
      </c>
      <c r="R39" t="s">
        <v>235</v>
      </c>
      <c r="S39" t="s">
        <v>35</v>
      </c>
      <c r="T39" t="n" s="2">
        <v>6.2</v>
      </c>
      <c r="U39" t="s">
        <v>108</v>
      </c>
      <c r="V39" t="s">
        <v>236</v>
      </c>
      <c r="W39" t="n" s="2">
        <v>1.75</v>
      </c>
    </row>
    <row r="40">
      <c r="A40" t="s" s="0">
        <v>220</v>
      </c>
      <c r="B40" t="s" s="0">
        <v>24</v>
      </c>
      <c r="C40" t="s" s="0">
        <v>147</v>
      </c>
      <c r="D40" t="s" s="0">
        <v>221</v>
      </c>
      <c r="E40" t="s" s="0">
        <v>222</v>
      </c>
      <c r="F40" t="s" s="0">
        <v>223</v>
      </c>
      <c r="G40" t="s" s="0">
        <v>46</v>
      </c>
      <c r="H40" t="s" s="0">
        <v>237</v>
      </c>
      <c r="I40" t="s" s="0">
        <v>31</v>
      </c>
      <c r="J40" t="n" s="2">
        <v>5.73</v>
      </c>
      <c r="K40" t="s">
        <v>33</v>
      </c>
      <c r="L40" t="s">
        <v>33</v>
      </c>
      <c r="M40" s="3">
        <f>IFERROR(K40/J40,0)</f>
      </c>
      <c r="N40" t="s">
        <v>150</v>
      </c>
      <c r="O40" t="s">
        <v>42</v>
      </c>
      <c r="P40" t="s">
        <v>238</v>
      </c>
      <c r="Q40" t="s">
        <v>33</v>
      </c>
      <c r="R40" t="s">
        <v>239</v>
      </c>
      <c r="S40" t="s">
        <v>83</v>
      </c>
      <c r="T40" t="n" s="2">
        <v>6.2</v>
      </c>
      <c r="U40" t="s">
        <v>240</v>
      </c>
      <c r="V40" t="s">
        <v>39</v>
      </c>
      <c r="W40" t="n" s="2">
        <v>0.47</v>
      </c>
    </row>
    <row r="41">
      <c r="A41" t="s" s="0">
        <v>220</v>
      </c>
      <c r="B41" t="s" s="0">
        <v>24</v>
      </c>
      <c r="C41" t="s" s="0">
        <v>147</v>
      </c>
      <c r="D41" t="s" s="0">
        <v>221</v>
      </c>
      <c r="E41" t="s" s="0">
        <v>222</v>
      </c>
      <c r="F41" t="s" s="0">
        <v>223</v>
      </c>
      <c r="G41" t="s" s="0">
        <v>46</v>
      </c>
      <c r="H41" t="s" s="0">
        <v>241</v>
      </c>
      <c r="I41" t="s" s="0">
        <v>31</v>
      </c>
      <c r="J41" t="n" s="2">
        <v>4.4</v>
      </c>
      <c r="K41" t="n" s="2">
        <v>3.5</v>
      </c>
      <c r="L41" t="n" s="2">
        <v>0.9</v>
      </c>
      <c r="M41" s="3">
        <f>IFERROR(K41/J41,0)</f>
      </c>
      <c r="N41" t="s">
        <v>150</v>
      </c>
      <c r="O41" t="s">
        <v>42</v>
      </c>
      <c r="P41" t="s">
        <v>242</v>
      </c>
      <c r="Q41" t="s">
        <v>243</v>
      </c>
      <c r="R41" t="s">
        <v>244</v>
      </c>
      <c r="S41" t="s">
        <v>88</v>
      </c>
      <c r="T41" t="n" s="2">
        <v>6.2</v>
      </c>
      <c r="U41" t="s">
        <v>212</v>
      </c>
      <c r="V41" t="s">
        <v>245</v>
      </c>
      <c r="W41" t="n" s="2">
        <v>1.8</v>
      </c>
    </row>
    <row r="42">
      <c r="A42" t="s" s="0">
        <v>246</v>
      </c>
      <c r="B42" t="s" s="0">
        <v>24</v>
      </c>
      <c r="C42" t="s" s="0">
        <v>147</v>
      </c>
      <c r="D42" t="s" s="0">
        <v>247</v>
      </c>
      <c r="E42" t="s" s="0">
        <v>222</v>
      </c>
      <c r="F42" t="s" s="0">
        <v>248</v>
      </c>
      <c r="G42" t="s" s="0">
        <v>193</v>
      </c>
      <c r="H42" t="s" s="0">
        <v>249</v>
      </c>
      <c r="I42" t="s" s="0">
        <v>31</v>
      </c>
      <c r="J42" t="n" s="2">
        <v>3.8</v>
      </c>
      <c r="K42" t="n" s="2">
        <v>2.9</v>
      </c>
      <c r="L42" t="n" s="2">
        <v>0.9</v>
      </c>
      <c r="M42" s="3">
        <f>IFERROR(K42/J42,0)</f>
      </c>
      <c r="N42" t="s">
        <v>250</v>
      </c>
      <c r="O42" t="s">
        <v>32</v>
      </c>
      <c r="P42" t="s">
        <v>251</v>
      </c>
      <c r="Q42" t="s">
        <v>252</v>
      </c>
      <c r="R42" t="s">
        <v>253</v>
      </c>
      <c r="S42" t="s">
        <v>32</v>
      </c>
      <c r="T42" t="n" s="2">
        <v>5.08</v>
      </c>
      <c r="U42" t="s">
        <v>254</v>
      </c>
      <c r="V42" t="s">
        <v>255</v>
      </c>
      <c r="W42" t="n" s="2">
        <v>1.28</v>
      </c>
    </row>
    <row r="43">
      <c r="A43" t="s" s="0">
        <v>246</v>
      </c>
      <c r="B43" t="s" s="0">
        <v>24</v>
      </c>
      <c r="C43" t="s" s="0">
        <v>147</v>
      </c>
      <c r="D43" t="s" s="0">
        <v>247</v>
      </c>
      <c r="E43" t="s" s="0">
        <v>222</v>
      </c>
      <c r="F43" t="s" s="0">
        <v>248</v>
      </c>
      <c r="G43" t="s" s="0">
        <v>193</v>
      </c>
      <c r="H43" t="s" s="0">
        <v>256</v>
      </c>
      <c r="I43" t="s" s="0">
        <v>31</v>
      </c>
      <c r="J43" t="n" s="2">
        <v>4.13</v>
      </c>
      <c r="K43" t="s">
        <v>33</v>
      </c>
      <c r="L43" t="s">
        <v>33</v>
      </c>
      <c r="M43" s="3">
        <f>IFERROR(K43/J43,0)</f>
      </c>
      <c r="N43" t="s">
        <v>250</v>
      </c>
      <c r="O43" t="s">
        <v>32</v>
      </c>
      <c r="P43" t="s">
        <v>251</v>
      </c>
      <c r="Q43" t="s">
        <v>33</v>
      </c>
      <c r="R43" t="s">
        <v>257</v>
      </c>
      <c r="S43" t="s">
        <v>42</v>
      </c>
      <c r="T43" t="n" s="2">
        <v>5.08</v>
      </c>
      <c r="U43" t="s">
        <v>258</v>
      </c>
      <c r="V43" t="s">
        <v>39</v>
      </c>
      <c r="W43" t="n" s="2">
        <v>0.95</v>
      </c>
    </row>
    <row r="44">
      <c r="A44" t="s" s="0">
        <v>246</v>
      </c>
      <c r="B44" t="s" s="0">
        <v>24</v>
      </c>
      <c r="C44" t="s" s="0">
        <v>147</v>
      </c>
      <c r="D44" t="s" s="0">
        <v>247</v>
      </c>
      <c r="E44" t="s" s="0">
        <v>222</v>
      </c>
      <c r="F44" t="s" s="0">
        <v>248</v>
      </c>
      <c r="G44" t="s" s="0">
        <v>46</v>
      </c>
      <c r="H44" t="s" s="0">
        <v>259</v>
      </c>
      <c r="I44" t="s" s="0">
        <v>260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250</v>
      </c>
      <c r="O44" t="s">
        <v>32</v>
      </c>
      <c r="P44" t="s">
        <v>33</v>
      </c>
      <c r="Q44" t="s">
        <v>33</v>
      </c>
      <c r="R44" t="s">
        <v>33</v>
      </c>
      <c r="S44" t="s">
        <v>35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246</v>
      </c>
      <c r="B45" t="s" s="0">
        <v>24</v>
      </c>
      <c r="C45" t="s" s="0">
        <v>147</v>
      </c>
      <c r="D45" t="s" s="0">
        <v>247</v>
      </c>
      <c r="E45" t="s" s="0">
        <v>222</v>
      </c>
      <c r="F45" t="s" s="0">
        <v>248</v>
      </c>
      <c r="G45" t="s" s="0">
        <v>46</v>
      </c>
      <c r="H45" t="s" s="0">
        <v>162</v>
      </c>
      <c r="I45" t="s" s="0">
        <v>260</v>
      </c>
      <c r="J45" t="n" s="2">
        <v>5.1</v>
      </c>
      <c r="K45" t="s">
        <v>33</v>
      </c>
      <c r="L45" t="s">
        <v>33</v>
      </c>
      <c r="M45" s="3">
        <f>IFERROR(K45/J45,0)</f>
      </c>
      <c r="N45" t="s">
        <v>250</v>
      </c>
      <c r="O45" t="s">
        <v>32</v>
      </c>
      <c r="P45" t="s">
        <v>261</v>
      </c>
      <c r="Q45" t="s">
        <v>33</v>
      </c>
      <c r="R45" t="s">
        <v>262</v>
      </c>
      <c r="S45" t="s">
        <v>83</v>
      </c>
      <c r="T45" t="n" s="2">
        <v>7.2</v>
      </c>
      <c r="U45" t="s">
        <v>263</v>
      </c>
      <c r="V45" t="s">
        <v>39</v>
      </c>
      <c r="W45" t="n" s="2">
        <v>2.1</v>
      </c>
    </row>
    <row r="46">
      <c r="A46" t="s" s="0">
        <v>246</v>
      </c>
      <c r="B46" t="s" s="0">
        <v>24</v>
      </c>
      <c r="C46" t="s" s="0">
        <v>147</v>
      </c>
      <c r="D46" t="s" s="0">
        <v>247</v>
      </c>
      <c r="E46" t="s" s="0">
        <v>222</v>
      </c>
      <c r="F46" t="s" s="0">
        <v>248</v>
      </c>
      <c r="G46" t="s" s="0">
        <v>264</v>
      </c>
      <c r="H46" t="s" s="0">
        <v>157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250</v>
      </c>
      <c r="O46" t="s">
        <v>32</v>
      </c>
      <c r="P46" t="s">
        <v>265</v>
      </c>
      <c r="Q46" t="s">
        <v>33</v>
      </c>
      <c r="R46" t="s">
        <v>266</v>
      </c>
      <c r="S46" t="s">
        <v>88</v>
      </c>
      <c r="U46" t="s">
        <v>39</v>
      </c>
      <c r="V46" t="s">
        <v>39</v>
      </c>
      <c r="W46" t="s">
        <v>39</v>
      </c>
    </row>
    <row r="47">
      <c r="A47" t="s" s="0">
        <v>267</v>
      </c>
      <c r="B47" t="s" s="0">
        <v>24</v>
      </c>
      <c r="C47" t="s" s="0">
        <v>147</v>
      </c>
      <c r="D47" t="s" s="0">
        <v>268</v>
      </c>
      <c r="E47" t="s" s="0">
        <v>269</v>
      </c>
      <c r="F47" t="s" s="0">
        <v>270</v>
      </c>
      <c r="G47" t="s" s="0">
        <v>271</v>
      </c>
      <c r="H47" t="s" s="0">
        <v>272</v>
      </c>
      <c r="I47" t="s" s="0">
        <v>181</v>
      </c>
      <c r="J47" t="n" s="2">
        <v>6.6</v>
      </c>
      <c r="K47" t="n" s="2">
        <v>4.8</v>
      </c>
      <c r="L47" t="n" s="2">
        <v>1.8</v>
      </c>
      <c r="M47" s="3">
        <f>IFERROR(K47/J47,0)</f>
      </c>
      <c r="N47" t="s">
        <v>273</v>
      </c>
      <c r="O47" t="s">
        <v>35</v>
      </c>
      <c r="P47" t="s">
        <v>274</v>
      </c>
      <c r="Q47" t="s">
        <v>275</v>
      </c>
      <c r="R47" t="s">
        <v>276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267</v>
      </c>
      <c r="B48" t="s" s="0">
        <v>24</v>
      </c>
      <c r="C48" t="s" s="0">
        <v>147</v>
      </c>
      <c r="D48" t="s" s="0">
        <v>268</v>
      </c>
      <c r="E48" t="s" s="0">
        <v>269</v>
      </c>
      <c r="F48" t="s" s="0">
        <v>270</v>
      </c>
      <c r="G48" t="s" s="0">
        <v>46</v>
      </c>
      <c r="H48" t="s" s="0">
        <v>277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273</v>
      </c>
      <c r="O48" t="s">
        <v>35</v>
      </c>
      <c r="P48" t="s">
        <v>278</v>
      </c>
      <c r="Q48" t="s">
        <v>33</v>
      </c>
      <c r="R48" t="s">
        <v>279</v>
      </c>
      <c r="S48" t="s">
        <v>42</v>
      </c>
      <c r="T48" t="n" s="2">
        <v>8.7</v>
      </c>
      <c r="U48" t="s">
        <v>280</v>
      </c>
      <c r="V48" t="s">
        <v>39</v>
      </c>
      <c r="W48" t="n" s="2">
        <v>3.7</v>
      </c>
    </row>
    <row r="49">
      <c r="A49" t="s" s="0">
        <v>267</v>
      </c>
      <c r="B49" t="s" s="0">
        <v>24</v>
      </c>
      <c r="C49" t="s" s="0">
        <v>147</v>
      </c>
      <c r="D49" t="s" s="0">
        <v>268</v>
      </c>
      <c r="E49" t="s" s="0">
        <v>269</v>
      </c>
      <c r="F49" t="s" s="0">
        <v>270</v>
      </c>
      <c r="G49" t="s" s="0">
        <v>46</v>
      </c>
      <c r="H49" t="s" s="0">
        <v>168</v>
      </c>
      <c r="I49" t="s" s="0">
        <v>31</v>
      </c>
      <c r="J49" t="n" s="2">
        <v>5.0</v>
      </c>
      <c r="K49" t="s">
        <v>33</v>
      </c>
      <c r="L49" t="s">
        <v>33</v>
      </c>
      <c r="M49" s="3">
        <f>IFERROR(K49/J49,0)</f>
      </c>
      <c r="N49" t="s">
        <v>273</v>
      </c>
      <c r="O49" t="s">
        <v>35</v>
      </c>
      <c r="P49" t="s">
        <v>281</v>
      </c>
      <c r="Q49" t="s">
        <v>33</v>
      </c>
      <c r="R49" t="s">
        <v>282</v>
      </c>
      <c r="S49" t="s">
        <v>35</v>
      </c>
      <c r="T49" t="n" s="2">
        <v>8.7</v>
      </c>
      <c r="U49" t="s">
        <v>280</v>
      </c>
      <c r="V49" t="s">
        <v>39</v>
      </c>
      <c r="W49" t="n" s="2">
        <v>3.7</v>
      </c>
    </row>
    <row r="50">
      <c r="A50" t="s" s="0">
        <v>283</v>
      </c>
      <c r="B50" t="s" s="0">
        <v>24</v>
      </c>
      <c r="C50" t="s" s="0">
        <v>147</v>
      </c>
      <c r="D50" t="s" s="0">
        <v>284</v>
      </c>
      <c r="E50" t="s" s="0">
        <v>222</v>
      </c>
      <c r="F50" t="s" s="0">
        <v>285</v>
      </c>
      <c r="G50" t="s" s="0">
        <v>46</v>
      </c>
      <c r="H50" t="s" s="0">
        <v>286</v>
      </c>
      <c r="I50" t="s" s="0">
        <v>181</v>
      </c>
      <c r="J50" t="n" s="2">
        <v>4.7</v>
      </c>
      <c r="K50" t="s">
        <v>33</v>
      </c>
      <c r="L50" t="s">
        <v>33</v>
      </c>
      <c r="M50" s="3">
        <f>IFERROR(K50/J50,0)</f>
      </c>
      <c r="N50" t="s">
        <v>287</v>
      </c>
      <c r="O50" t="s">
        <v>32</v>
      </c>
      <c r="P50" t="s">
        <v>288</v>
      </c>
      <c r="Q50" t="s">
        <v>33</v>
      </c>
      <c r="R50" t="s">
        <v>289</v>
      </c>
      <c r="S50" t="s">
        <v>32</v>
      </c>
      <c r="T50" t="n" s="2">
        <v>7.375</v>
      </c>
      <c r="U50" t="s">
        <v>290</v>
      </c>
      <c r="V50" t="s">
        <v>39</v>
      </c>
      <c r="W50" t="n" s="2">
        <v>2.68</v>
      </c>
    </row>
    <row r="51">
      <c r="A51" t="s" s="0">
        <v>283</v>
      </c>
      <c r="B51" t="s" s="0">
        <v>24</v>
      </c>
      <c r="C51" t="s" s="0">
        <v>147</v>
      </c>
      <c r="D51" t="s" s="0">
        <v>284</v>
      </c>
      <c r="E51" t="s" s="0">
        <v>222</v>
      </c>
      <c r="F51" t="s" s="0">
        <v>285</v>
      </c>
      <c r="G51" t="s" s="0">
        <v>46</v>
      </c>
      <c r="H51" t="s" s="0">
        <v>291</v>
      </c>
      <c r="I51" t="s" s="0">
        <v>31</v>
      </c>
      <c r="J51" t="n" s="2">
        <v>4.85</v>
      </c>
      <c r="K51" t="s">
        <v>33</v>
      </c>
      <c r="L51" t="s">
        <v>33</v>
      </c>
      <c r="M51" s="3">
        <f>IFERROR(K51/J51,0)</f>
      </c>
      <c r="N51" t="s">
        <v>287</v>
      </c>
      <c r="O51" t="s">
        <v>32</v>
      </c>
      <c r="P51" t="s">
        <v>292</v>
      </c>
      <c r="Q51" t="s">
        <v>33</v>
      </c>
      <c r="R51" t="s">
        <v>293</v>
      </c>
      <c r="S51" t="s">
        <v>42</v>
      </c>
      <c r="T51" t="n" s="2">
        <v>7.375</v>
      </c>
      <c r="U51" t="s">
        <v>294</v>
      </c>
      <c r="V51" t="s">
        <v>39</v>
      </c>
      <c r="W51" t="n" s="2">
        <v>2.53</v>
      </c>
    </row>
    <row r="52">
      <c r="A52" t="s" s="0">
        <v>283</v>
      </c>
      <c r="B52" t="s" s="0">
        <v>24</v>
      </c>
      <c r="C52" t="s" s="0">
        <v>147</v>
      </c>
      <c r="D52" t="s" s="0">
        <v>284</v>
      </c>
      <c r="E52" t="s" s="0">
        <v>222</v>
      </c>
      <c r="F52" t="s" s="0">
        <v>285</v>
      </c>
      <c r="G52" t="s" s="0">
        <v>46</v>
      </c>
      <c r="H52" t="s" s="0">
        <v>74</v>
      </c>
      <c r="I52" t="s" s="0">
        <v>181</v>
      </c>
      <c r="J52" t="n" s="2">
        <v>4.55</v>
      </c>
      <c r="K52" t="n" s="2">
        <v>3.5</v>
      </c>
      <c r="L52" t="n" s="2">
        <v>1.05</v>
      </c>
      <c r="M52" s="3">
        <f>IFERROR(K52/J52,0)</f>
      </c>
      <c r="N52" t="s">
        <v>287</v>
      </c>
      <c r="O52" t="s">
        <v>32</v>
      </c>
      <c r="P52" t="s">
        <v>295</v>
      </c>
      <c r="Q52" t="s">
        <v>296</v>
      </c>
      <c r="R52" t="s">
        <v>297</v>
      </c>
      <c r="S52" t="s">
        <v>35</v>
      </c>
      <c r="T52" t="n" s="2">
        <v>7.375</v>
      </c>
      <c r="U52" t="s">
        <v>298</v>
      </c>
      <c r="V52" t="s">
        <v>299</v>
      </c>
      <c r="W52" t="n" s="2">
        <v>2.83</v>
      </c>
    </row>
    <row r="53">
      <c r="A53" t="s" s="0">
        <v>300</v>
      </c>
      <c r="B53" t="s" s="0">
        <v>24</v>
      </c>
      <c r="C53" t="s" s="0">
        <v>147</v>
      </c>
      <c r="D53" t="s" s="0">
        <v>301</v>
      </c>
      <c r="E53" t="s" s="0">
        <v>302</v>
      </c>
      <c r="F53" t="s" s="0">
        <v>303</v>
      </c>
      <c r="G53" t="s" s="0">
        <v>304</v>
      </c>
      <c r="H53" t="s" s="0">
        <v>208</v>
      </c>
      <c r="I53" t="s" s="0">
        <v>31</v>
      </c>
      <c r="J53" t="n" s="2">
        <v>2.27</v>
      </c>
      <c r="K53" t="n" s="2">
        <v>2.0</v>
      </c>
      <c r="L53" t="n" s="2">
        <v>0.27</v>
      </c>
      <c r="M53" s="3">
        <f>IFERROR(K53/J53,0)</f>
      </c>
      <c r="N53" t="s">
        <v>305</v>
      </c>
      <c r="O53" t="s">
        <v>95</v>
      </c>
      <c r="P53" t="s">
        <v>306</v>
      </c>
      <c r="Q53" t="s">
        <v>307</v>
      </c>
      <c r="R53" t="s">
        <v>308</v>
      </c>
      <c r="S53" t="s">
        <v>32</v>
      </c>
      <c r="T53" t="n" s="2">
        <v>3.67</v>
      </c>
      <c r="U53" t="s">
        <v>309</v>
      </c>
      <c r="V53" t="s">
        <v>310</v>
      </c>
      <c r="W53" t="n" s="2">
        <v>1.4</v>
      </c>
    </row>
    <row r="54">
      <c r="A54" t="s" s="0">
        <v>300</v>
      </c>
      <c r="B54" t="s" s="0">
        <v>24</v>
      </c>
      <c r="C54" t="s" s="0">
        <v>147</v>
      </c>
      <c r="D54" t="s" s="0">
        <v>301</v>
      </c>
      <c r="E54" t="s" s="0">
        <v>302</v>
      </c>
      <c r="F54" t="s" s="0">
        <v>303</v>
      </c>
      <c r="G54" t="s" s="0">
        <v>46</v>
      </c>
      <c r="H54" t="s" s="0">
        <v>311</v>
      </c>
      <c r="I54" t="s" s="0">
        <v>31</v>
      </c>
      <c r="J54" t="n" s="2">
        <v>3.3</v>
      </c>
      <c r="K54" t="s">
        <v>33</v>
      </c>
      <c r="L54" t="s">
        <v>33</v>
      </c>
      <c r="M54" s="3">
        <f>IFERROR(K54/J54,0)</f>
      </c>
      <c r="N54" t="s">
        <v>305</v>
      </c>
      <c r="O54" t="s">
        <v>95</v>
      </c>
      <c r="P54" t="s">
        <v>312</v>
      </c>
      <c r="Q54" t="s">
        <v>33</v>
      </c>
      <c r="R54" t="s">
        <v>313</v>
      </c>
      <c r="S54" t="s">
        <v>42</v>
      </c>
      <c r="T54" t="n" s="2">
        <v>4.78</v>
      </c>
      <c r="U54" t="s">
        <v>201</v>
      </c>
      <c r="V54" t="s">
        <v>39</v>
      </c>
      <c r="W54" t="n" s="2">
        <v>1.48</v>
      </c>
    </row>
    <row r="55">
      <c r="A55" t="s" s="0">
        <v>314</v>
      </c>
      <c r="B55" t="s" s="0">
        <v>24</v>
      </c>
      <c r="C55" t="s" s="0">
        <v>147</v>
      </c>
      <c r="D55" t="s" s="0">
        <v>315</v>
      </c>
      <c r="E55" t="s" s="0">
        <v>302</v>
      </c>
      <c r="F55" t="s" s="0">
        <v>316</v>
      </c>
      <c r="G55" t="s" s="0">
        <v>46</v>
      </c>
      <c r="H55" t="s" s="0">
        <v>82</v>
      </c>
      <c r="I55" t="s" s="0">
        <v>181</v>
      </c>
      <c r="J55" t="n" s="2">
        <v>4.98</v>
      </c>
      <c r="K55" t="s">
        <v>33</v>
      </c>
      <c r="L55" t="s">
        <v>33</v>
      </c>
      <c r="M55" s="3">
        <f>IFERROR(K55/J55,0)</f>
      </c>
      <c r="N55" t="s">
        <v>317</v>
      </c>
      <c r="O55" t="s">
        <v>59</v>
      </c>
      <c r="P55" t="s">
        <v>318</v>
      </c>
      <c r="Q55" t="s">
        <v>33</v>
      </c>
      <c r="R55" t="s">
        <v>319</v>
      </c>
      <c r="S55" t="s">
        <v>32</v>
      </c>
      <c r="T55" t="n" s="2">
        <v>6.9</v>
      </c>
      <c r="U55" t="s">
        <v>320</v>
      </c>
      <c r="V55" t="s">
        <v>39</v>
      </c>
      <c r="W55" t="n" s="2">
        <v>1.92</v>
      </c>
    </row>
    <row r="56">
      <c r="A56" t="s" s="0">
        <v>314</v>
      </c>
      <c r="B56" t="s" s="0">
        <v>24</v>
      </c>
      <c r="C56" t="s" s="0">
        <v>147</v>
      </c>
      <c r="D56" t="s" s="0">
        <v>315</v>
      </c>
      <c r="E56" t="s" s="0">
        <v>302</v>
      </c>
      <c r="F56" t="s" s="0">
        <v>316</v>
      </c>
      <c r="G56" t="s" s="0">
        <v>46</v>
      </c>
      <c r="H56" t="s" s="0">
        <v>291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317</v>
      </c>
      <c r="O56" t="s">
        <v>59</v>
      </c>
      <c r="P56" t="s">
        <v>321</v>
      </c>
      <c r="Q56" t="s">
        <v>33</v>
      </c>
      <c r="R56" t="s">
        <v>322</v>
      </c>
      <c r="S56" t="s">
        <v>42</v>
      </c>
      <c r="T56" t="n" s="2">
        <v>6.9</v>
      </c>
      <c r="U56" t="s">
        <v>323</v>
      </c>
      <c r="V56" t="s">
        <v>39</v>
      </c>
      <c r="W56" t="n" s="2">
        <v>1.7</v>
      </c>
    </row>
    <row r="57">
      <c r="A57" t="s" s="0">
        <v>324</v>
      </c>
      <c r="B57" t="s" s="0">
        <v>24</v>
      </c>
      <c r="C57" t="s" s="0">
        <v>147</v>
      </c>
      <c r="D57" t="s" s="0">
        <v>325</v>
      </c>
      <c r="E57" t="s" s="0">
        <v>326</v>
      </c>
      <c r="F57" t="s" s="0">
        <v>327</v>
      </c>
      <c r="G57" t="s" s="0">
        <v>46</v>
      </c>
      <c r="H57" t="s" s="0">
        <v>328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329</v>
      </c>
      <c r="O57" t="s">
        <v>59</v>
      </c>
      <c r="P57" t="s">
        <v>330</v>
      </c>
      <c r="Q57" t="s">
        <v>33</v>
      </c>
      <c r="R57" t="s">
        <v>331</v>
      </c>
      <c r="S57" t="s">
        <v>32</v>
      </c>
      <c r="T57" t="n" s="2">
        <v>5.95</v>
      </c>
      <c r="U57" t="s">
        <v>332</v>
      </c>
      <c r="V57" t="s">
        <v>39</v>
      </c>
      <c r="W57" t="n" s="2">
        <v>1.75</v>
      </c>
    </row>
    <row r="58">
      <c r="A58" t="s" s="0">
        <v>324</v>
      </c>
      <c r="B58" t="s" s="0">
        <v>24</v>
      </c>
      <c r="C58" t="s" s="0">
        <v>147</v>
      </c>
      <c r="D58" t="s" s="0">
        <v>325</v>
      </c>
      <c r="E58" t="s" s="0">
        <v>326</v>
      </c>
      <c r="F58" t="s" s="0">
        <v>327</v>
      </c>
      <c r="G58" t="s" s="0">
        <v>46</v>
      </c>
      <c r="H58" t="s" s="0">
        <v>333</v>
      </c>
      <c r="I58" t="s" s="0">
        <v>31</v>
      </c>
      <c r="J58" t="n" s="2">
        <v>4.1</v>
      </c>
      <c r="K58" t="s">
        <v>33</v>
      </c>
      <c r="L58" t="s">
        <v>33</v>
      </c>
      <c r="M58" s="3">
        <f>IFERROR(K58/J58,0)</f>
      </c>
      <c r="N58" t="s">
        <v>329</v>
      </c>
      <c r="O58" t="s">
        <v>59</v>
      </c>
      <c r="P58" t="s">
        <v>334</v>
      </c>
      <c r="Q58" t="s">
        <v>33</v>
      </c>
      <c r="R58" t="s">
        <v>335</v>
      </c>
      <c r="S58" t="s">
        <v>42</v>
      </c>
      <c r="T58" t="n" s="2">
        <v>5.95</v>
      </c>
      <c r="U58" t="s">
        <v>336</v>
      </c>
      <c r="V58" t="s">
        <v>39</v>
      </c>
      <c r="W58" t="n" s="2">
        <v>1.85</v>
      </c>
    </row>
    <row r="59">
      <c r="A59" t="s" s="0">
        <v>337</v>
      </c>
      <c r="B59" t="s" s="0">
        <v>24</v>
      </c>
      <c r="C59" t="s" s="0">
        <v>147</v>
      </c>
      <c r="D59" t="s" s="0">
        <v>338</v>
      </c>
      <c r="E59" t="s" s="0">
        <v>339</v>
      </c>
      <c r="F59" t="s" s="0">
        <v>340</v>
      </c>
      <c r="G59" t="s" s="0">
        <v>46</v>
      </c>
      <c r="H59" t="s" s="0">
        <v>277</v>
      </c>
      <c r="I59" t="s" s="0">
        <v>31</v>
      </c>
      <c r="J59" t="n" s="2">
        <v>4.19</v>
      </c>
      <c r="K59" t="s">
        <v>33</v>
      </c>
      <c r="L59" t="s">
        <v>33</v>
      </c>
      <c r="M59" s="3">
        <f>IFERROR(K59/J59,0)</f>
      </c>
      <c r="N59" t="s">
        <v>195</v>
      </c>
      <c r="O59" t="s">
        <v>83</v>
      </c>
      <c r="P59" t="s">
        <v>341</v>
      </c>
      <c r="Q59" t="s">
        <v>33</v>
      </c>
      <c r="R59" t="s">
        <v>342</v>
      </c>
      <c r="S59" t="s">
        <v>32</v>
      </c>
      <c r="T59" t="n" s="2">
        <v>6.27</v>
      </c>
      <c r="U59" t="s">
        <v>343</v>
      </c>
      <c r="V59" t="s">
        <v>39</v>
      </c>
      <c r="W59" t="n" s="2">
        <v>2.08</v>
      </c>
    </row>
    <row r="60">
      <c r="A60" t="s" s="0">
        <v>337</v>
      </c>
      <c r="B60" t="s" s="0">
        <v>24</v>
      </c>
      <c r="C60" t="s" s="0">
        <v>147</v>
      </c>
      <c r="D60" t="s" s="0">
        <v>338</v>
      </c>
      <c r="E60" t="s" s="0">
        <v>339</v>
      </c>
      <c r="F60" t="s" s="0">
        <v>340</v>
      </c>
      <c r="G60" t="s" s="0">
        <v>46</v>
      </c>
      <c r="H60" t="s" s="0">
        <v>168</v>
      </c>
      <c r="I60" t="s" s="0">
        <v>31</v>
      </c>
      <c r="J60" t="n" s="2">
        <v>5.0</v>
      </c>
      <c r="K60" t="s">
        <v>33</v>
      </c>
      <c r="L60" t="s">
        <v>33</v>
      </c>
      <c r="M60" s="3">
        <f>IFERROR(K60/J60,0)</f>
      </c>
      <c r="N60" t="s">
        <v>195</v>
      </c>
      <c r="O60" t="s">
        <v>83</v>
      </c>
      <c r="P60" t="s">
        <v>344</v>
      </c>
      <c r="Q60" t="s">
        <v>33</v>
      </c>
      <c r="R60" t="s">
        <v>345</v>
      </c>
      <c r="S60" t="s">
        <v>42</v>
      </c>
      <c r="T60" t="n" s="2">
        <v>6.27</v>
      </c>
      <c r="U60" t="s">
        <v>346</v>
      </c>
      <c r="V60" t="s">
        <v>39</v>
      </c>
      <c r="W60" t="n" s="2">
        <v>1.27</v>
      </c>
    </row>
    <row r="61">
      <c r="A61" t="s" s="0">
        <v>337</v>
      </c>
      <c r="B61" t="s" s="0">
        <v>24</v>
      </c>
      <c r="C61" t="s" s="0">
        <v>147</v>
      </c>
      <c r="D61" t="s" s="0">
        <v>338</v>
      </c>
      <c r="E61" t="s" s="0">
        <v>339</v>
      </c>
      <c r="F61" t="s" s="0">
        <v>340</v>
      </c>
      <c r="G61" t="s" s="0">
        <v>46</v>
      </c>
      <c r="H61" t="s" s="0">
        <v>347</v>
      </c>
      <c r="I61" t="s" s="0">
        <v>31</v>
      </c>
      <c r="J61" t="n" s="2">
        <v>4.1</v>
      </c>
      <c r="K61" t="s">
        <v>33</v>
      </c>
      <c r="L61" t="s">
        <v>33</v>
      </c>
      <c r="M61" s="3">
        <f>IFERROR(K61/J61,0)</f>
      </c>
      <c r="N61" t="s">
        <v>195</v>
      </c>
      <c r="O61" t="s">
        <v>83</v>
      </c>
      <c r="P61" t="s">
        <v>261</v>
      </c>
      <c r="Q61" t="s">
        <v>33</v>
      </c>
      <c r="R61" t="s">
        <v>348</v>
      </c>
      <c r="S61" t="s">
        <v>35</v>
      </c>
      <c r="T61" t="n" s="2">
        <v>6.27</v>
      </c>
      <c r="U61" t="s">
        <v>349</v>
      </c>
      <c r="V61" t="s">
        <v>39</v>
      </c>
      <c r="W61" t="n" s="2">
        <v>2.17</v>
      </c>
    </row>
    <row r="62">
      <c r="A62" t="s" s="0">
        <v>337</v>
      </c>
      <c r="B62" t="s" s="0">
        <v>24</v>
      </c>
      <c r="C62" t="s" s="0">
        <v>147</v>
      </c>
      <c r="D62" t="s" s="0">
        <v>338</v>
      </c>
      <c r="E62" t="s" s="0">
        <v>339</v>
      </c>
      <c r="F62" t="s" s="0">
        <v>340</v>
      </c>
      <c r="G62" t="s" s="0">
        <v>350</v>
      </c>
      <c r="H62" t="s" s="0">
        <v>351</v>
      </c>
      <c r="I62" t="s" s="0">
        <v>181</v>
      </c>
      <c r="J62" t="n" s="2">
        <v>5.9</v>
      </c>
      <c r="K62" t="n" s="2">
        <v>4.0</v>
      </c>
      <c r="L62" t="n" s="2">
        <v>1.9</v>
      </c>
      <c r="M62" s="3">
        <f>IFERROR(K62/J62,0)</f>
      </c>
      <c r="N62" t="s">
        <v>195</v>
      </c>
      <c r="O62" t="s">
        <v>83</v>
      </c>
      <c r="P62" t="s">
        <v>352</v>
      </c>
      <c r="Q62" t="s">
        <v>353</v>
      </c>
      <c r="R62" t="s">
        <v>354</v>
      </c>
      <c r="S62" t="s">
        <v>83</v>
      </c>
      <c r="U62" t="s">
        <v>39</v>
      </c>
      <c r="V62" t="s">
        <v>39</v>
      </c>
      <c r="W62" t="s">
        <v>39</v>
      </c>
    </row>
    <row r="63">
      <c r="A63" t="s" s="0">
        <v>337</v>
      </c>
      <c r="B63" t="s" s="0">
        <v>24</v>
      </c>
      <c r="C63" t="s" s="0">
        <v>147</v>
      </c>
      <c r="D63" t="s" s="0">
        <v>338</v>
      </c>
      <c r="E63" t="s" s="0">
        <v>339</v>
      </c>
      <c r="F63" t="s" s="0">
        <v>340</v>
      </c>
      <c r="G63" t="s" s="0">
        <v>355</v>
      </c>
      <c r="H63" t="s" s="0">
        <v>356</v>
      </c>
      <c r="I63" t="s" s="0">
        <v>181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195</v>
      </c>
      <c r="O63" t="s">
        <v>83</v>
      </c>
      <c r="P63" t="s">
        <v>357</v>
      </c>
      <c r="Q63" t="s">
        <v>33</v>
      </c>
      <c r="R63" t="s">
        <v>358</v>
      </c>
      <c r="S63" t="s">
        <v>88</v>
      </c>
      <c r="U63" t="s">
        <v>39</v>
      </c>
      <c r="V63" t="s">
        <v>39</v>
      </c>
      <c r="W63" t="s">
        <v>39</v>
      </c>
    </row>
    <row r="64">
      <c r="A64" t="s" s="0">
        <v>359</v>
      </c>
      <c r="B64" t="s" s="0">
        <v>24</v>
      </c>
      <c r="C64" t="s" s="0">
        <v>360</v>
      </c>
      <c r="D64" t="s" s="0">
        <v>361</v>
      </c>
      <c r="E64" t="s" s="0">
        <v>362</v>
      </c>
      <c r="F64" t="s" s="0">
        <v>123</v>
      </c>
      <c r="G64" t="s" s="0">
        <v>66</v>
      </c>
      <c r="H64" t="s" s="0">
        <v>363</v>
      </c>
      <c r="I64" t="s" s="0">
        <v>198</v>
      </c>
      <c r="J64" t="n" s="2">
        <v>1.4</v>
      </c>
      <c r="K64" t="s">
        <v>33</v>
      </c>
      <c r="L64" t="s">
        <v>33</v>
      </c>
      <c r="M64" s="3">
        <f>IFERROR(K64/J64,0)</f>
      </c>
      <c r="N64" t="s">
        <v>364</v>
      </c>
      <c r="O64" t="s">
        <v>42</v>
      </c>
      <c r="P64" t="s">
        <v>365</v>
      </c>
      <c r="Q64" t="s">
        <v>33</v>
      </c>
      <c r="R64" t="s">
        <v>33</v>
      </c>
      <c r="S64" t="s">
        <v>32</v>
      </c>
      <c r="T64" t="n" s="2">
        <v>1.783</v>
      </c>
      <c r="U64" t="s">
        <v>366</v>
      </c>
      <c r="V64" t="s">
        <v>39</v>
      </c>
      <c r="W64" t="n" s="2">
        <v>0.38</v>
      </c>
    </row>
    <row r="65">
      <c r="A65" t="s" s="0">
        <v>359</v>
      </c>
      <c r="B65" t="s" s="0">
        <v>24</v>
      </c>
      <c r="C65" t="s" s="0">
        <v>360</v>
      </c>
      <c r="D65" t="s" s="0">
        <v>361</v>
      </c>
      <c r="E65" t="s" s="0">
        <v>362</v>
      </c>
      <c r="F65" t="s" s="0">
        <v>123</v>
      </c>
      <c r="G65" t="s" s="0">
        <v>66</v>
      </c>
      <c r="H65" t="s" s="0">
        <v>367</v>
      </c>
      <c r="I65" t="s" s="0">
        <v>194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364</v>
      </c>
      <c r="O65" t="s">
        <v>42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359</v>
      </c>
      <c r="B66" t="s" s="0">
        <v>24</v>
      </c>
      <c r="C66" t="s" s="0">
        <v>360</v>
      </c>
      <c r="D66" t="s" s="0">
        <v>361</v>
      </c>
      <c r="E66" t="s" s="0">
        <v>362</v>
      </c>
      <c r="F66" t="s" s="0">
        <v>123</v>
      </c>
      <c r="G66" t="s" s="0">
        <v>66</v>
      </c>
      <c r="H66" t="s" s="0">
        <v>368</v>
      </c>
      <c r="I66" t="s" s="0">
        <v>194</v>
      </c>
      <c r="J66" t="n" s="2">
        <v>1.45</v>
      </c>
      <c r="K66" t="n" s="2">
        <v>1.3</v>
      </c>
      <c r="L66" t="n" s="2">
        <v>0.15</v>
      </c>
      <c r="M66" s="3">
        <f>IFERROR(K66/J66,0)</f>
      </c>
      <c r="N66" t="s">
        <v>364</v>
      </c>
      <c r="O66" t="s">
        <v>42</v>
      </c>
      <c r="P66" t="s">
        <v>369</v>
      </c>
      <c r="Q66" t="s">
        <v>365</v>
      </c>
      <c r="R66" t="s">
        <v>370</v>
      </c>
      <c r="S66" t="s">
        <v>35</v>
      </c>
      <c r="T66" t="n" s="2">
        <v>1.783</v>
      </c>
      <c r="U66" t="s">
        <v>258</v>
      </c>
      <c r="V66" t="s">
        <v>371</v>
      </c>
      <c r="W66" t="n" s="2">
        <v>0.33</v>
      </c>
    </row>
    <row r="67">
      <c r="A67" t="s" s="0">
        <v>372</v>
      </c>
      <c r="B67" t="s" s="0">
        <v>24</v>
      </c>
      <c r="C67" t="s" s="0">
        <v>360</v>
      </c>
      <c r="D67" t="s" s="0">
        <v>373</v>
      </c>
      <c r="E67" t="s" s="0">
        <v>374</v>
      </c>
      <c r="F67" t="s" s="0">
        <v>375</v>
      </c>
      <c r="G67" t="s" s="0">
        <v>66</v>
      </c>
      <c r="H67" t="s" s="0">
        <v>367</v>
      </c>
      <c r="I67" t="s" s="0">
        <v>142</v>
      </c>
      <c r="J67" t="n" s="2">
        <v>1.6</v>
      </c>
      <c r="K67" t="n" s="2">
        <v>1.2</v>
      </c>
      <c r="L67" t="n" s="2">
        <v>0.4</v>
      </c>
      <c r="M67" s="3">
        <f>IFERROR(K67/J67,0)</f>
      </c>
      <c r="N67" t="s">
        <v>376</v>
      </c>
      <c r="O67" t="s">
        <v>32</v>
      </c>
      <c r="P67" t="s">
        <v>377</v>
      </c>
      <c r="Q67" t="s">
        <v>378</v>
      </c>
      <c r="R67" t="s">
        <v>379</v>
      </c>
      <c r="S67" t="s">
        <v>32</v>
      </c>
      <c r="T67" t="n" s="2">
        <v>1.79</v>
      </c>
      <c r="U67" t="s">
        <v>380</v>
      </c>
      <c r="V67" t="s">
        <v>381</v>
      </c>
      <c r="W67" t="n" s="2">
        <v>0.19</v>
      </c>
    </row>
    <row r="68">
      <c r="A68" t="s" s="0">
        <v>372</v>
      </c>
      <c r="B68" t="s" s="0">
        <v>24</v>
      </c>
      <c r="C68" t="s" s="0">
        <v>360</v>
      </c>
      <c r="D68" t="s" s="0">
        <v>373</v>
      </c>
      <c r="E68" t="s" s="0">
        <v>374</v>
      </c>
      <c r="F68" t="s" s="0">
        <v>375</v>
      </c>
      <c r="G68" t="s" s="0">
        <v>66</v>
      </c>
      <c r="H68" t="s" s="0">
        <v>363</v>
      </c>
      <c r="I68" t="s" s="0">
        <v>382</v>
      </c>
      <c r="J68" t="n" s="2">
        <v>1.4</v>
      </c>
      <c r="K68" t="s">
        <v>33</v>
      </c>
      <c r="L68" t="s">
        <v>33</v>
      </c>
      <c r="M68" s="3">
        <f>IFERROR(K68/J68,0)</f>
      </c>
      <c r="N68" t="s">
        <v>376</v>
      </c>
      <c r="O68" t="s">
        <v>32</v>
      </c>
      <c r="P68" t="s">
        <v>383</v>
      </c>
      <c r="Q68" t="s">
        <v>33</v>
      </c>
      <c r="R68" t="s">
        <v>384</v>
      </c>
      <c r="S68" t="s">
        <v>42</v>
      </c>
      <c r="T68" t="n" s="2">
        <v>1.79</v>
      </c>
      <c r="U68" t="s">
        <v>385</v>
      </c>
      <c r="V68" t="s">
        <v>39</v>
      </c>
      <c r="W68" t="n" s="2">
        <v>0.39</v>
      </c>
    </row>
    <row r="69">
      <c r="A69" t="s" s="0">
        <v>386</v>
      </c>
      <c r="B69" t="s" s="0">
        <v>24</v>
      </c>
      <c r="C69" t="s" s="0">
        <v>360</v>
      </c>
      <c r="D69" t="s" s="0">
        <v>387</v>
      </c>
      <c r="E69" t="s" s="0">
        <v>388</v>
      </c>
      <c r="F69" t="s" s="0">
        <v>389</v>
      </c>
      <c r="G69" t="s" s="0">
        <v>192</v>
      </c>
      <c r="H69" t="s" s="0">
        <v>390</v>
      </c>
      <c r="I69" t="s" s="0">
        <v>391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392</v>
      </c>
      <c r="O69" t="s">
        <v>42</v>
      </c>
      <c r="P69" t="s">
        <v>393</v>
      </c>
      <c r="Q69" t="s">
        <v>33</v>
      </c>
      <c r="R69" t="s">
        <v>394</v>
      </c>
      <c r="S69" t="s">
        <v>32</v>
      </c>
      <c r="T69" t="n" s="2">
        <v>1.25</v>
      </c>
      <c r="U69" t="s">
        <v>395</v>
      </c>
      <c r="V69" t="s">
        <v>39</v>
      </c>
      <c r="W69" t="n" s="2">
        <v>0.45</v>
      </c>
    </row>
    <row r="70">
      <c r="A70" t="s" s="0">
        <v>386</v>
      </c>
      <c r="B70" t="s" s="0">
        <v>24</v>
      </c>
      <c r="C70" t="s" s="0">
        <v>360</v>
      </c>
      <c r="D70" t="s" s="0">
        <v>387</v>
      </c>
      <c r="E70" t="s" s="0">
        <v>388</v>
      </c>
      <c r="F70" t="s" s="0">
        <v>389</v>
      </c>
      <c r="G70" t="s" s="0">
        <v>46</v>
      </c>
      <c r="H70" t="s" s="0">
        <v>179</v>
      </c>
      <c r="I70" t="s" s="0">
        <v>31</v>
      </c>
      <c r="J70" t="n" s="2">
        <v>2.1</v>
      </c>
      <c r="K70" t="n" s="2">
        <v>1.7</v>
      </c>
      <c r="L70" t="n" s="2">
        <v>0.4</v>
      </c>
      <c r="M70" s="3">
        <f>IFERROR(K70/J70,0)</f>
      </c>
      <c r="N70" t="s">
        <v>392</v>
      </c>
      <c r="O70" t="s">
        <v>42</v>
      </c>
      <c r="P70" t="s">
        <v>292</v>
      </c>
      <c r="Q70" t="s">
        <v>292</v>
      </c>
      <c r="R70" t="s">
        <v>396</v>
      </c>
      <c r="S70" t="s">
        <v>42</v>
      </c>
      <c r="T70" t="n" s="2">
        <v>2.145</v>
      </c>
      <c r="U70" t="s">
        <v>397</v>
      </c>
      <c r="V70" t="s">
        <v>398</v>
      </c>
      <c r="W70" t="n" s="2">
        <v>0.05</v>
      </c>
    </row>
    <row r="71">
      <c r="A71" t="s" s="0">
        <v>399</v>
      </c>
      <c r="B71" t="s" s="0">
        <v>24</v>
      </c>
      <c r="C71" t="s" s="0">
        <v>360</v>
      </c>
      <c r="D71" t="s" s="0">
        <v>400</v>
      </c>
      <c r="E71" t="s" s="0">
        <v>401</v>
      </c>
      <c r="F71" t="s" s="0">
        <v>402</v>
      </c>
      <c r="G71" t="s" s="0">
        <v>58</v>
      </c>
      <c r="H71" t="s" s="0">
        <v>403</v>
      </c>
      <c r="I71" t="s" s="0">
        <v>391</v>
      </c>
      <c r="J71" t="n" s="2">
        <v>0.77</v>
      </c>
      <c r="K71" t="s">
        <v>33</v>
      </c>
      <c r="L71" t="s">
        <v>33</v>
      </c>
      <c r="M71" s="3">
        <f>IFERROR(K71/J71,0)</f>
      </c>
      <c r="N71" t="s">
        <v>404</v>
      </c>
      <c r="O71" t="s">
        <v>59</v>
      </c>
      <c r="P71" t="s">
        <v>405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399</v>
      </c>
      <c r="B72" t="s" s="0">
        <v>24</v>
      </c>
      <c r="C72" t="s" s="0">
        <v>360</v>
      </c>
      <c r="D72" t="s" s="0">
        <v>400</v>
      </c>
      <c r="E72" t="s" s="0">
        <v>401</v>
      </c>
      <c r="F72" t="s" s="0">
        <v>402</v>
      </c>
      <c r="G72" t="s" s="0">
        <v>46</v>
      </c>
      <c r="H72" t="s" s="0">
        <v>271</v>
      </c>
      <c r="I72" t="s" s="0">
        <v>198</v>
      </c>
      <c r="J72" t="n" s="2">
        <v>2.05</v>
      </c>
      <c r="K72" t="s">
        <v>33</v>
      </c>
      <c r="L72" t="s">
        <v>33</v>
      </c>
      <c r="M72" s="3">
        <f>IFERROR(K72/J72,0)</f>
      </c>
      <c r="N72" t="s">
        <v>404</v>
      </c>
      <c r="O72" t="s">
        <v>59</v>
      </c>
      <c r="P72" t="s">
        <v>406</v>
      </c>
      <c r="Q72" t="s">
        <v>33</v>
      </c>
      <c r="R72" t="s">
        <v>407</v>
      </c>
      <c r="S72" t="s">
        <v>42</v>
      </c>
      <c r="T72" t="n" s="2">
        <v>3.05</v>
      </c>
      <c r="U72" t="s">
        <v>408</v>
      </c>
      <c r="V72" t="s">
        <v>39</v>
      </c>
      <c r="W72" t="n" s="2">
        <v>1.0</v>
      </c>
    </row>
    <row r="73">
      <c r="A73" t="s" s="0">
        <v>409</v>
      </c>
      <c r="B73" t="s" s="0">
        <v>24</v>
      </c>
      <c r="C73" t="s" s="0">
        <v>360</v>
      </c>
      <c r="D73" t="s" s="0">
        <v>410</v>
      </c>
      <c r="E73" t="s" s="0">
        <v>411</v>
      </c>
      <c r="F73" t="s" s="0">
        <v>412</v>
      </c>
      <c r="G73" t="s" s="0">
        <v>46</v>
      </c>
      <c r="H73" t="s" s="0">
        <v>162</v>
      </c>
      <c r="I73" t="s" s="0">
        <v>31</v>
      </c>
      <c r="J73" t="n" s="2">
        <v>3.0</v>
      </c>
      <c r="K73" t="s">
        <v>33</v>
      </c>
      <c r="L73" t="s">
        <v>33</v>
      </c>
      <c r="M73" s="3">
        <f>IFERROR(K73/J73,0)</f>
      </c>
      <c r="N73" t="s">
        <v>41</v>
      </c>
      <c r="O73" t="s">
        <v>35</v>
      </c>
      <c r="P73" t="s">
        <v>413</v>
      </c>
      <c r="Q73" t="s">
        <v>33</v>
      </c>
      <c r="R73" t="s">
        <v>414</v>
      </c>
      <c r="S73" t="s">
        <v>32</v>
      </c>
      <c r="T73" t="n" s="2">
        <v>4.35</v>
      </c>
      <c r="U73" t="s">
        <v>201</v>
      </c>
      <c r="V73" t="s">
        <v>39</v>
      </c>
      <c r="W73" t="n" s="2">
        <v>1.35</v>
      </c>
    </row>
    <row r="74">
      <c r="A74" t="s" s="0">
        <v>409</v>
      </c>
      <c r="B74" t="s" s="0">
        <v>24</v>
      </c>
      <c r="C74" t="s" s="0">
        <v>360</v>
      </c>
      <c r="D74" t="s" s="0">
        <v>410</v>
      </c>
      <c r="E74" t="s" s="0">
        <v>411</v>
      </c>
      <c r="F74" t="s" s="0">
        <v>412</v>
      </c>
      <c r="G74" t="s" s="0">
        <v>46</v>
      </c>
      <c r="H74" t="s" s="0">
        <v>259</v>
      </c>
      <c r="I74" t="s" s="0">
        <v>31</v>
      </c>
      <c r="J74" t="n" s="2">
        <v>3.0</v>
      </c>
      <c r="K74" t="s">
        <v>33</v>
      </c>
      <c r="L74" t="s">
        <v>33</v>
      </c>
      <c r="M74" s="3">
        <f>IFERROR(K74/J74,0)</f>
      </c>
      <c r="N74" t="s">
        <v>41</v>
      </c>
      <c r="O74" t="s">
        <v>35</v>
      </c>
      <c r="P74" t="s">
        <v>415</v>
      </c>
      <c r="Q74" t="s">
        <v>33</v>
      </c>
      <c r="R74" t="s">
        <v>416</v>
      </c>
      <c r="S74" t="s">
        <v>42</v>
      </c>
      <c r="T74" t="n" s="2">
        <v>4.35</v>
      </c>
      <c r="U74" t="s">
        <v>201</v>
      </c>
      <c r="V74" t="s">
        <v>39</v>
      </c>
      <c r="W74" t="n" s="2">
        <v>1.35</v>
      </c>
    </row>
    <row r="75">
      <c r="A75" t="s" s="0">
        <v>409</v>
      </c>
      <c r="B75" t="s" s="0">
        <v>24</v>
      </c>
      <c r="C75" t="s" s="0">
        <v>360</v>
      </c>
      <c r="D75" t="s" s="0">
        <v>410</v>
      </c>
      <c r="E75" t="s" s="0">
        <v>411</v>
      </c>
      <c r="F75" t="s" s="0">
        <v>412</v>
      </c>
      <c r="G75" t="s" s="0">
        <v>417</v>
      </c>
      <c r="H75" t="s" s="0">
        <v>418</v>
      </c>
      <c r="I75" t="s" s="0">
        <v>181</v>
      </c>
      <c r="J75" t="n" s="2">
        <v>3.93</v>
      </c>
      <c r="K75" t="n" s="2">
        <v>3.0</v>
      </c>
      <c r="L75" t="n" s="2">
        <v>0.93</v>
      </c>
      <c r="M75" s="3">
        <f>IFERROR(K75/J75,0)</f>
      </c>
      <c r="N75" t="s">
        <v>41</v>
      </c>
      <c r="O75" t="s">
        <v>35</v>
      </c>
      <c r="P75" t="s">
        <v>419</v>
      </c>
      <c r="Q75" t="s">
        <v>419</v>
      </c>
      <c r="R75" t="s">
        <v>420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409</v>
      </c>
      <c r="B76" t="s" s="0">
        <v>24</v>
      </c>
      <c r="C76" t="s" s="0">
        <v>360</v>
      </c>
      <c r="D76" t="s" s="0">
        <v>410</v>
      </c>
      <c r="E76" t="s" s="0">
        <v>411</v>
      </c>
      <c r="F76" t="s" s="0">
        <v>412</v>
      </c>
      <c r="G76" t="s" s="0">
        <v>421</v>
      </c>
      <c r="H76" t="s" s="0">
        <v>422</v>
      </c>
      <c r="I76" t="s" s="0">
        <v>181</v>
      </c>
      <c r="J76" t="n" s="2">
        <v>4.9</v>
      </c>
      <c r="K76" t="s">
        <v>33</v>
      </c>
      <c r="L76" t="s">
        <v>33</v>
      </c>
      <c r="M76" s="3">
        <f>IFERROR(K76/J76,0)</f>
      </c>
      <c r="N76" t="s">
        <v>41</v>
      </c>
      <c r="O76" t="s">
        <v>35</v>
      </c>
      <c r="P76" t="s">
        <v>423</v>
      </c>
      <c r="Q76" t="s">
        <v>33</v>
      </c>
      <c r="R76" t="s">
        <v>424</v>
      </c>
      <c r="S76" t="s">
        <v>83</v>
      </c>
      <c r="U76" t="s">
        <v>39</v>
      </c>
      <c r="V76" t="s">
        <v>39</v>
      </c>
      <c r="W76" t="s">
        <v>39</v>
      </c>
    </row>
    <row r="77">
      <c r="A77" t="s" s="0">
        <v>425</v>
      </c>
      <c r="B77" t="s" s="0">
        <v>24</v>
      </c>
      <c r="C77" t="s" s="0">
        <v>360</v>
      </c>
      <c r="D77" t="s" s="0">
        <v>426</v>
      </c>
      <c r="E77" t="s" s="0">
        <v>411</v>
      </c>
      <c r="F77" t="s" s="0">
        <v>427</v>
      </c>
      <c r="G77" t="s" s="0">
        <v>46</v>
      </c>
      <c r="H77" t="s" s="0">
        <v>428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429</v>
      </c>
      <c r="O77" t="s">
        <v>32</v>
      </c>
      <c r="P77" t="s">
        <v>430</v>
      </c>
      <c r="Q77" t="s">
        <v>33</v>
      </c>
      <c r="R77" t="s">
        <v>431</v>
      </c>
      <c r="S77" t="s">
        <v>32</v>
      </c>
      <c r="T77" t="n" s="2">
        <v>4.74</v>
      </c>
      <c r="U77" t="s">
        <v>432</v>
      </c>
      <c r="V77" t="s">
        <v>39</v>
      </c>
      <c r="W77" t="n" s="2">
        <v>1.44</v>
      </c>
    </row>
    <row r="78">
      <c r="A78" t="s" s="0">
        <v>425</v>
      </c>
      <c r="B78" t="s" s="0">
        <v>24</v>
      </c>
      <c r="C78" t="s" s="0">
        <v>360</v>
      </c>
      <c r="D78" t="s" s="0">
        <v>426</v>
      </c>
      <c r="E78" t="s" s="0">
        <v>411</v>
      </c>
      <c r="F78" t="s" s="0">
        <v>427</v>
      </c>
      <c r="G78" t="s" s="0">
        <v>417</v>
      </c>
      <c r="H78" t="s" s="0">
        <v>433</v>
      </c>
      <c r="I78" t="s" s="0">
        <v>181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429</v>
      </c>
      <c r="O78" t="s">
        <v>32</v>
      </c>
      <c r="P78" t="s">
        <v>434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425</v>
      </c>
      <c r="B79" t="s" s="0">
        <v>24</v>
      </c>
      <c r="C79" t="s" s="0">
        <v>360</v>
      </c>
      <c r="D79" t="s" s="0">
        <v>426</v>
      </c>
      <c r="E79" t="s" s="0">
        <v>411</v>
      </c>
      <c r="F79" t="s" s="0">
        <v>427</v>
      </c>
      <c r="G79" t="s" s="0">
        <v>435</v>
      </c>
      <c r="H79" t="s" s="0">
        <v>436</v>
      </c>
      <c r="I79" t="s" s="0">
        <v>181</v>
      </c>
      <c r="J79" t="n" s="2">
        <v>5.1</v>
      </c>
      <c r="K79" t="n" s="2">
        <v>4.0</v>
      </c>
      <c r="L79" t="n" s="2">
        <v>1.1</v>
      </c>
      <c r="M79" s="3">
        <f>IFERROR(K79/J79,0)</f>
      </c>
      <c r="N79" t="s">
        <v>429</v>
      </c>
      <c r="O79" t="s">
        <v>32</v>
      </c>
      <c r="P79" t="s">
        <v>437</v>
      </c>
      <c r="Q79" t="s">
        <v>438</v>
      </c>
      <c r="R79" t="s">
        <v>439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440</v>
      </c>
      <c r="B80" t="s" s="0">
        <v>24</v>
      </c>
      <c r="C80" t="s" s="0">
        <v>360</v>
      </c>
      <c r="D80" t="s" s="0">
        <v>441</v>
      </c>
      <c r="E80" t="s" s="0">
        <v>138</v>
      </c>
      <c r="F80" t="s" s="0">
        <v>442</v>
      </c>
      <c r="G80" t="s" s="0">
        <v>192</v>
      </c>
      <c r="H80" t="s" s="0">
        <v>193</v>
      </c>
      <c r="I80" t="s" s="0">
        <v>443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444</v>
      </c>
      <c r="O80" t="s">
        <v>59</v>
      </c>
      <c r="P80" t="s">
        <v>33</v>
      </c>
      <c r="Q80" t="s">
        <v>33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440</v>
      </c>
      <c r="B81" t="s" s="0">
        <v>24</v>
      </c>
      <c r="C81" t="s" s="0">
        <v>360</v>
      </c>
      <c r="D81" t="s" s="0">
        <v>441</v>
      </c>
      <c r="E81" t="s" s="0">
        <v>138</v>
      </c>
      <c r="F81" t="s" s="0">
        <v>442</v>
      </c>
      <c r="G81" t="s" s="0">
        <v>66</v>
      </c>
      <c r="H81" t="s" s="0">
        <v>445</v>
      </c>
      <c r="I81" t="s" s="0">
        <v>443</v>
      </c>
      <c r="J81" t="n" s="2">
        <v>0.91</v>
      </c>
      <c r="K81" t="s">
        <v>33</v>
      </c>
      <c r="L81" t="s">
        <v>33</v>
      </c>
      <c r="M81" s="3">
        <f>IFERROR(K81/J81,0)</f>
      </c>
      <c r="N81" t="s">
        <v>444</v>
      </c>
      <c r="O81" t="s">
        <v>59</v>
      </c>
      <c r="P81" t="s">
        <v>446</v>
      </c>
      <c r="Q81" t="s">
        <v>33</v>
      </c>
      <c r="R81" t="s">
        <v>447</v>
      </c>
      <c r="S81" t="s">
        <v>42</v>
      </c>
      <c r="T81" t="n" s="2">
        <v>1.364</v>
      </c>
      <c r="U81" t="s">
        <v>448</v>
      </c>
      <c r="V81" t="s">
        <v>39</v>
      </c>
      <c r="W81" t="n" s="2">
        <v>0.45</v>
      </c>
    </row>
    <row r="82">
      <c r="A82" t="s" s="0">
        <v>449</v>
      </c>
      <c r="B82" t="s" s="0">
        <v>24</v>
      </c>
      <c r="C82" t="s" s="0">
        <v>360</v>
      </c>
      <c r="D82" t="s" s="0">
        <v>450</v>
      </c>
      <c r="E82" t="s" s="0">
        <v>374</v>
      </c>
      <c r="F82" t="s" s="0">
        <v>451</v>
      </c>
      <c r="G82" t="s" s="0">
        <v>58</v>
      </c>
      <c r="H82" t="s" s="0">
        <v>452</v>
      </c>
      <c r="I82" t="s" s="0">
        <v>194</v>
      </c>
      <c r="J82" t="n" s="2">
        <v>0.72</v>
      </c>
      <c r="K82" t="s">
        <v>33</v>
      </c>
      <c r="L82" t="s">
        <v>33</v>
      </c>
      <c r="M82" s="3">
        <f>IFERROR(K82/J82,0)</f>
      </c>
      <c r="N82" t="s">
        <v>453</v>
      </c>
      <c r="O82" t="s">
        <v>59</v>
      </c>
      <c r="P82" t="s">
        <v>454</v>
      </c>
      <c r="Q82" t="s">
        <v>33</v>
      </c>
      <c r="R82" t="s">
        <v>33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449</v>
      </c>
      <c r="B83" t="s" s="0">
        <v>24</v>
      </c>
      <c r="C83" t="s" s="0">
        <v>360</v>
      </c>
      <c r="D83" t="s" s="0">
        <v>450</v>
      </c>
      <c r="E83" t="s" s="0">
        <v>374</v>
      </c>
      <c r="F83" t="s" s="0">
        <v>451</v>
      </c>
      <c r="G83" t="s" s="0">
        <v>66</v>
      </c>
      <c r="H83" t="s" s="0">
        <v>209</v>
      </c>
      <c r="I83" t="s" s="0">
        <v>198</v>
      </c>
      <c r="J83" t="n" s="2">
        <v>1.65</v>
      </c>
      <c r="K83" t="s">
        <v>33</v>
      </c>
      <c r="L83" t="s">
        <v>33</v>
      </c>
      <c r="M83" s="3">
        <f>IFERROR(K83/J83,0)</f>
      </c>
      <c r="N83" t="s">
        <v>453</v>
      </c>
      <c r="O83" t="s">
        <v>59</v>
      </c>
      <c r="P83" t="s">
        <v>455</v>
      </c>
      <c r="Q83" t="s">
        <v>33</v>
      </c>
      <c r="R83" t="s">
        <v>456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457</v>
      </c>
      <c r="B84" t="s" s="0">
        <v>24</v>
      </c>
      <c r="C84" t="s" s="0">
        <v>458</v>
      </c>
      <c r="D84" t="s" s="0">
        <v>459</v>
      </c>
      <c r="E84" t="s" s="0">
        <v>138</v>
      </c>
      <c r="F84" t="s" s="0">
        <v>460</v>
      </c>
      <c r="G84" t="s" s="0">
        <v>66</v>
      </c>
      <c r="H84" t="s" s="0">
        <v>273</v>
      </c>
      <c r="I84" t="s" s="0">
        <v>142</v>
      </c>
      <c r="J84" t="n" s="2">
        <v>0.88</v>
      </c>
      <c r="K84" t="n" s="2">
        <v>0.8</v>
      </c>
      <c r="L84" t="n" s="2">
        <v>0.08</v>
      </c>
      <c r="M84" s="3">
        <f>IFERROR(K84/J84,0)</f>
      </c>
      <c r="N84" t="s">
        <v>317</v>
      </c>
      <c r="O84" t="s">
        <v>32</v>
      </c>
      <c r="P84" t="s">
        <v>461</v>
      </c>
      <c r="Q84" t="s">
        <v>462</v>
      </c>
      <c r="R84" t="s">
        <v>463</v>
      </c>
      <c r="S84" t="s">
        <v>32</v>
      </c>
      <c r="T84" t="n" s="2">
        <v>1.41</v>
      </c>
      <c r="U84" t="s">
        <v>464</v>
      </c>
      <c r="V84" t="s">
        <v>465</v>
      </c>
      <c r="W84" t="n" s="2">
        <v>0.53</v>
      </c>
    </row>
    <row r="85">
      <c r="A85" t="s" s="0">
        <v>466</v>
      </c>
      <c r="B85" t="s" s="0">
        <v>24</v>
      </c>
      <c r="C85" t="s" s="0">
        <v>458</v>
      </c>
      <c r="D85" t="s" s="0">
        <v>467</v>
      </c>
      <c r="E85" t="s" s="0">
        <v>468</v>
      </c>
      <c r="F85" t="s" s="0">
        <v>469</v>
      </c>
      <c r="G85" t="s" s="0">
        <v>46</v>
      </c>
      <c r="H85" t="s" s="0">
        <v>105</v>
      </c>
      <c r="I85" t="s" s="0">
        <v>31</v>
      </c>
      <c r="J85" t="n" s="2">
        <v>1.95</v>
      </c>
      <c r="K85" t="s">
        <v>33</v>
      </c>
      <c r="L85" t="s">
        <v>33</v>
      </c>
      <c r="M85" s="3">
        <f>IFERROR(K85/J85,0)</f>
      </c>
      <c r="N85" t="s">
        <v>364</v>
      </c>
      <c r="O85" t="s">
        <v>59</v>
      </c>
      <c r="P85" t="s">
        <v>470</v>
      </c>
      <c r="Q85" t="s">
        <v>33</v>
      </c>
      <c r="R85" t="s">
        <v>471</v>
      </c>
      <c r="S85" t="s">
        <v>32</v>
      </c>
      <c r="T85" t="n" s="2">
        <v>2.95</v>
      </c>
      <c r="U85" t="s">
        <v>472</v>
      </c>
      <c r="V85" t="s">
        <v>39</v>
      </c>
      <c r="W85" t="n" s="2">
        <v>1.0</v>
      </c>
    </row>
    <row r="86">
      <c r="A86" t="s" s="0">
        <v>473</v>
      </c>
      <c r="B86" t="s" s="0">
        <v>24</v>
      </c>
      <c r="C86" t="s" s="0">
        <v>458</v>
      </c>
      <c r="D86" t="s" s="0">
        <v>474</v>
      </c>
      <c r="E86" t="s" s="0">
        <v>362</v>
      </c>
      <c r="F86" t="s" s="0">
        <v>475</v>
      </c>
      <c r="G86" t="s" s="0">
        <v>66</v>
      </c>
      <c r="H86" t="s" s="0">
        <v>445</v>
      </c>
      <c r="I86" t="s" s="0">
        <v>443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476</v>
      </c>
      <c r="O86" t="s">
        <v>59</v>
      </c>
      <c r="P86" t="s">
        <v>477</v>
      </c>
      <c r="Q86" t="s">
        <v>33</v>
      </c>
      <c r="R86" t="s">
        <v>478</v>
      </c>
      <c r="S86" t="s">
        <v>32</v>
      </c>
      <c r="T86" t="n" s="2">
        <v>1.3</v>
      </c>
      <c r="U86" t="s">
        <v>479</v>
      </c>
      <c r="V86" t="s">
        <v>39</v>
      </c>
      <c r="W86" t="n" s="2">
        <v>0.4</v>
      </c>
    </row>
    <row r="87">
      <c r="A87" t="s" s="0">
        <v>480</v>
      </c>
      <c r="B87" t="s" s="0">
        <v>24</v>
      </c>
      <c r="C87" t="s" s="0">
        <v>458</v>
      </c>
      <c r="D87" t="s" s="0">
        <v>481</v>
      </c>
      <c r="E87" t="s" s="0">
        <v>388</v>
      </c>
      <c r="F87" t="s" s="0">
        <v>482</v>
      </c>
      <c r="G87" t="s" s="0">
        <v>483</v>
      </c>
      <c r="H87" t="s" s="0">
        <v>264</v>
      </c>
      <c r="I87" t="s" s="0">
        <v>198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484</v>
      </c>
      <c r="O87" t="s">
        <v>59</v>
      </c>
      <c r="P87" t="s">
        <v>33</v>
      </c>
      <c r="Q87" t="s">
        <v>33</v>
      </c>
      <c r="R87" t="s">
        <v>33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480</v>
      </c>
      <c r="B88" t="s" s="0">
        <v>24</v>
      </c>
      <c r="C88" t="s" s="0">
        <v>458</v>
      </c>
      <c r="D88" t="s" s="0">
        <v>481</v>
      </c>
      <c r="E88" t="s" s="0">
        <v>388</v>
      </c>
      <c r="F88" t="s" s="0">
        <v>482</v>
      </c>
      <c r="G88" t="s" s="0">
        <v>46</v>
      </c>
      <c r="H88" t="s" s="0">
        <v>485</v>
      </c>
      <c r="I88" t="s" s="0">
        <v>31</v>
      </c>
      <c r="J88" t="n" s="2">
        <v>1.55</v>
      </c>
      <c r="K88" t="s">
        <v>33</v>
      </c>
      <c r="L88" t="s">
        <v>33</v>
      </c>
      <c r="M88" s="3">
        <f>IFERROR(K88/J88,0)</f>
      </c>
      <c r="N88" t="s">
        <v>484</v>
      </c>
      <c r="O88" t="s">
        <v>59</v>
      </c>
      <c r="P88" t="s">
        <v>486</v>
      </c>
      <c r="Q88" t="s">
        <v>33</v>
      </c>
      <c r="R88" t="s">
        <v>487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480</v>
      </c>
      <c r="B89" t="s" s="0">
        <v>24</v>
      </c>
      <c r="C89" t="s" s="0">
        <v>458</v>
      </c>
      <c r="D89" t="s" s="0">
        <v>481</v>
      </c>
      <c r="E89" t="s" s="0">
        <v>388</v>
      </c>
      <c r="F89" t="s" s="0">
        <v>482</v>
      </c>
      <c r="G89" t="s" s="0">
        <v>488</v>
      </c>
      <c r="H89" t="s" s="0">
        <v>489</v>
      </c>
      <c r="I89" t="s" s="0">
        <v>181</v>
      </c>
      <c r="J89" t="n" s="2">
        <v>2.5</v>
      </c>
      <c r="K89" t="s">
        <v>33</v>
      </c>
      <c r="L89" t="s">
        <v>33</v>
      </c>
      <c r="M89" s="3">
        <f>IFERROR(K89/J89,0)</f>
      </c>
      <c r="N89" t="s">
        <v>484</v>
      </c>
      <c r="O89" t="s">
        <v>59</v>
      </c>
      <c r="P89" t="s">
        <v>490</v>
      </c>
      <c r="Q89" t="s">
        <v>33</v>
      </c>
      <c r="R89" t="s">
        <v>491</v>
      </c>
      <c r="S89" t="s">
        <v>35</v>
      </c>
      <c r="U89" t="s">
        <v>39</v>
      </c>
      <c r="V89" t="s">
        <v>39</v>
      </c>
      <c r="W89" t="s">
        <v>39</v>
      </c>
    </row>
    <row r="90">
      <c r="A90" t="s" s="0">
        <v>480</v>
      </c>
      <c r="B90" t="s" s="0">
        <v>24</v>
      </c>
      <c r="C90" t="s" s="0">
        <v>458</v>
      </c>
      <c r="D90" t="s" s="0">
        <v>481</v>
      </c>
      <c r="E90" t="s" s="0">
        <v>388</v>
      </c>
      <c r="F90" t="s" s="0">
        <v>482</v>
      </c>
      <c r="G90" t="s" s="0">
        <v>492</v>
      </c>
      <c r="H90" t="s" s="0">
        <v>493</v>
      </c>
      <c r="I90" t="s" s="0">
        <v>494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484</v>
      </c>
      <c r="O90" t="s">
        <v>59</v>
      </c>
      <c r="P90" t="s">
        <v>495</v>
      </c>
      <c r="Q90" t="s">
        <v>33</v>
      </c>
      <c r="R90" t="s">
        <v>496</v>
      </c>
      <c r="S90" t="s">
        <v>83</v>
      </c>
      <c r="U90" t="s">
        <v>39</v>
      </c>
      <c r="V90" t="s">
        <v>39</v>
      </c>
      <c r="W90" t="s">
        <v>39</v>
      </c>
    </row>
    <row r="91">
      <c r="A91" t="s" s="0">
        <v>497</v>
      </c>
      <c r="B91" t="s" s="0">
        <v>24</v>
      </c>
      <c r="C91" t="s" s="0">
        <v>458</v>
      </c>
      <c r="D91" t="s" s="0">
        <v>498</v>
      </c>
      <c r="E91" t="s" s="0">
        <v>55</v>
      </c>
      <c r="F91" t="s" s="0">
        <v>499</v>
      </c>
      <c r="G91" t="s" s="0">
        <v>46</v>
      </c>
      <c r="H91" t="s" s="0">
        <v>347</v>
      </c>
      <c r="I91" t="s" s="0">
        <v>31</v>
      </c>
      <c r="J91" t="n" s="2">
        <v>2.7</v>
      </c>
      <c r="K91" t="s">
        <v>33</v>
      </c>
      <c r="L91" t="s">
        <v>33</v>
      </c>
      <c r="M91" s="3">
        <f>IFERROR(K91/J91,0)</f>
      </c>
      <c r="N91" t="s">
        <v>500</v>
      </c>
      <c r="O91" t="s">
        <v>59</v>
      </c>
      <c r="P91" t="s">
        <v>501</v>
      </c>
      <c r="Q91" t="s">
        <v>33</v>
      </c>
      <c r="R91" t="s">
        <v>502</v>
      </c>
      <c r="S91" t="s">
        <v>32</v>
      </c>
      <c r="T91" t="n" s="2">
        <v>4.4</v>
      </c>
      <c r="U91" t="s">
        <v>503</v>
      </c>
      <c r="V91" t="s">
        <v>39</v>
      </c>
      <c r="W91" t="n" s="2">
        <v>1.7</v>
      </c>
    </row>
    <row r="92">
      <c r="A92" t="s" s="0">
        <v>504</v>
      </c>
      <c r="B92" t="s" s="0">
        <v>24</v>
      </c>
      <c r="C92" t="s" s="0">
        <v>458</v>
      </c>
      <c r="D92" t="s" s="0">
        <v>505</v>
      </c>
      <c r="E92" t="s" s="0">
        <v>411</v>
      </c>
      <c r="F92" t="s" s="0">
        <v>506</v>
      </c>
      <c r="G92" t="s" s="0">
        <v>46</v>
      </c>
      <c r="H92" t="s" s="0">
        <v>507</v>
      </c>
      <c r="I92" t="s" s="0">
        <v>31</v>
      </c>
      <c r="J92" t="n" s="2">
        <v>2.55</v>
      </c>
      <c r="K92" t="n" s="2">
        <v>2.6</v>
      </c>
      <c r="L92" t="n" s="2">
        <v>-0.05</v>
      </c>
      <c r="M92" s="3">
        <f>IFERROR(K92/J92,0)</f>
      </c>
      <c r="N92" t="s">
        <v>287</v>
      </c>
      <c r="O92" t="s">
        <v>32</v>
      </c>
      <c r="P92" t="s">
        <v>508</v>
      </c>
      <c r="Q92" t="s">
        <v>509</v>
      </c>
      <c r="R92" t="s">
        <v>510</v>
      </c>
      <c r="S92" t="s">
        <v>32</v>
      </c>
      <c r="T92" t="n" s="2">
        <v>3.56</v>
      </c>
      <c r="U92" t="s">
        <v>511</v>
      </c>
      <c r="V92" t="s">
        <v>512</v>
      </c>
      <c r="W92" t="n" s="2">
        <v>1.01</v>
      </c>
    </row>
    <row r="93">
      <c r="A93" t="s" s="0">
        <v>513</v>
      </c>
      <c r="B93" t="s" s="0">
        <v>24</v>
      </c>
      <c r="C93" t="s" s="0">
        <v>458</v>
      </c>
      <c r="D93" t="s" s="0">
        <v>514</v>
      </c>
      <c r="E93" t="s" s="0">
        <v>103</v>
      </c>
      <c r="F93" t="s" s="0">
        <v>515</v>
      </c>
      <c r="G93" t="s" s="0">
        <v>516</v>
      </c>
      <c r="H93" t="s" s="0">
        <v>517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518</v>
      </c>
      <c r="O93" t="s">
        <v>88</v>
      </c>
      <c r="P93" t="s">
        <v>519</v>
      </c>
      <c r="Q93" t="s">
        <v>33</v>
      </c>
      <c r="R93" t="s">
        <v>520</v>
      </c>
      <c r="S93" t="s">
        <v>32</v>
      </c>
      <c r="T93" t="n" s="2">
        <v>6.35</v>
      </c>
      <c r="U93" t="s">
        <v>521</v>
      </c>
      <c r="V93" t="s">
        <v>39</v>
      </c>
      <c r="W93" t="n" s="2">
        <v>1.85</v>
      </c>
    </row>
    <row r="94">
      <c r="A94" t="s" s="0">
        <v>513</v>
      </c>
      <c r="B94" t="s" s="0">
        <v>24</v>
      </c>
      <c r="C94" t="s" s="0">
        <v>458</v>
      </c>
      <c r="D94" t="s" s="0">
        <v>514</v>
      </c>
      <c r="E94" t="s" s="0">
        <v>103</v>
      </c>
      <c r="F94" t="s" s="0">
        <v>515</v>
      </c>
      <c r="G94" t="s" s="0">
        <v>46</v>
      </c>
      <c r="H94" t="s" s="0">
        <v>162</v>
      </c>
      <c r="I94" t="s" s="0">
        <v>31</v>
      </c>
      <c r="J94" t="n" s="2">
        <v>4.2</v>
      </c>
      <c r="K94" t="n" s="2">
        <v>3.1</v>
      </c>
      <c r="L94" t="n" s="2">
        <v>1.1</v>
      </c>
      <c r="M94" s="3">
        <f>IFERROR(K94/J94,0)</f>
      </c>
      <c r="N94" t="s">
        <v>518</v>
      </c>
      <c r="O94" t="s">
        <v>88</v>
      </c>
      <c r="P94" t="s">
        <v>522</v>
      </c>
      <c r="Q94" t="s">
        <v>523</v>
      </c>
      <c r="R94" t="s">
        <v>524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513</v>
      </c>
      <c r="B95" t="s" s="0">
        <v>24</v>
      </c>
      <c r="C95" t="s" s="0">
        <v>458</v>
      </c>
      <c r="D95" t="s" s="0">
        <v>514</v>
      </c>
      <c r="E95" t="s" s="0">
        <v>103</v>
      </c>
      <c r="F95" t="s" s="0">
        <v>515</v>
      </c>
      <c r="G95" t="s" s="0">
        <v>46</v>
      </c>
      <c r="H95" t="s" s="0">
        <v>259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518</v>
      </c>
      <c r="O95" t="s">
        <v>88</v>
      </c>
      <c r="P95" t="s">
        <v>525</v>
      </c>
      <c r="Q95" t="s">
        <v>33</v>
      </c>
      <c r="R95" t="s">
        <v>526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527</v>
      </c>
      <c r="B96" t="s" s="0">
        <v>24</v>
      </c>
      <c r="C96" t="s" s="0">
        <v>458</v>
      </c>
      <c r="D96" t="s" s="0">
        <v>528</v>
      </c>
      <c r="E96" t="s" s="0">
        <v>222</v>
      </c>
      <c r="F96" t="s" s="0">
        <v>529</v>
      </c>
      <c r="G96" t="s" s="0">
        <v>46</v>
      </c>
      <c r="H96" t="s" s="0">
        <v>530</v>
      </c>
      <c r="I96" t="s" s="0">
        <v>31</v>
      </c>
      <c r="J96" t="n" s="2">
        <v>3.29</v>
      </c>
      <c r="K96" t="n" s="2">
        <v>3.0</v>
      </c>
      <c r="L96" t="n" s="2">
        <v>0.29</v>
      </c>
      <c r="M96" s="3">
        <f>IFERROR(K96/J96,0)</f>
      </c>
      <c r="N96" t="s">
        <v>531</v>
      </c>
      <c r="O96" t="s">
        <v>83</v>
      </c>
      <c r="P96" t="s">
        <v>532</v>
      </c>
      <c r="Q96" t="s">
        <v>533</v>
      </c>
      <c r="R96" t="s">
        <v>534</v>
      </c>
      <c r="S96" t="s">
        <v>32</v>
      </c>
      <c r="T96" t="n" s="2">
        <v>4.28</v>
      </c>
      <c r="U96" t="s">
        <v>535</v>
      </c>
      <c r="V96" t="s">
        <v>536</v>
      </c>
      <c r="W96" t="n" s="2">
        <v>0.99</v>
      </c>
    </row>
    <row r="97">
      <c r="A97" t="s" s="0">
        <v>527</v>
      </c>
      <c r="B97" t="s" s="0">
        <v>24</v>
      </c>
      <c r="C97" t="s" s="0">
        <v>458</v>
      </c>
      <c r="D97" t="s" s="0">
        <v>528</v>
      </c>
      <c r="E97" t="s" s="0">
        <v>222</v>
      </c>
      <c r="F97" t="s" s="0">
        <v>529</v>
      </c>
      <c r="G97" t="s" s="0">
        <v>517</v>
      </c>
      <c r="H97" t="s" s="0">
        <v>537</v>
      </c>
      <c r="I97" t="s" s="0">
        <v>181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531</v>
      </c>
      <c r="O97" t="s">
        <v>83</v>
      </c>
      <c r="P97" t="s">
        <v>84</v>
      </c>
      <c r="Q97" t="s">
        <v>33</v>
      </c>
      <c r="R97" t="s">
        <v>538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539</v>
      </c>
      <c r="B98" t="s" s="0">
        <v>24</v>
      </c>
      <c r="C98" t="s" s="0">
        <v>540</v>
      </c>
      <c r="D98" t="s" s="0">
        <v>541</v>
      </c>
      <c r="E98" t="s" s="0">
        <v>138</v>
      </c>
      <c r="F98" t="s" s="0">
        <v>542</v>
      </c>
      <c r="G98" t="s" s="0">
        <v>192</v>
      </c>
      <c r="H98" t="s" s="0">
        <v>193</v>
      </c>
      <c r="I98" t="s" s="0">
        <v>194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93</v>
      </c>
      <c r="O98" t="s">
        <v>32</v>
      </c>
      <c r="P98" t="s">
        <v>33</v>
      </c>
      <c r="Q98" t="s">
        <v>33</v>
      </c>
      <c r="R98" t="s">
        <v>33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539</v>
      </c>
      <c r="B99" t="s" s="0">
        <v>24</v>
      </c>
      <c r="C99" t="s" s="0">
        <v>540</v>
      </c>
      <c r="D99" t="s" s="0">
        <v>541</v>
      </c>
      <c r="E99" t="s" s="0">
        <v>138</v>
      </c>
      <c r="F99" t="s" s="0">
        <v>542</v>
      </c>
      <c r="G99" t="s" s="0">
        <v>66</v>
      </c>
      <c r="H99" t="s" s="0">
        <v>208</v>
      </c>
      <c r="I99" t="s" s="0">
        <v>198</v>
      </c>
      <c r="J99" t="n" s="2">
        <v>1.05</v>
      </c>
      <c r="K99" t="s">
        <v>33</v>
      </c>
      <c r="L99" t="s">
        <v>33</v>
      </c>
      <c r="M99" s="3">
        <f>IFERROR(K99/J99,0)</f>
      </c>
      <c r="N99" t="s">
        <v>93</v>
      </c>
      <c r="O99" t="s">
        <v>32</v>
      </c>
      <c r="P99" t="s">
        <v>543</v>
      </c>
      <c r="Q99" t="s">
        <v>33</v>
      </c>
      <c r="R99" t="s">
        <v>544</v>
      </c>
      <c r="S99" t="s">
        <v>42</v>
      </c>
      <c r="T99" t="n" s="2">
        <v>1.31</v>
      </c>
      <c r="U99" t="s">
        <v>545</v>
      </c>
      <c r="V99" t="s">
        <v>39</v>
      </c>
      <c r="W99" t="n" s="2">
        <v>0.26</v>
      </c>
    </row>
    <row r="100">
      <c r="A100" t="s" s="0">
        <v>539</v>
      </c>
      <c r="B100" t="s" s="0">
        <v>24</v>
      </c>
      <c r="C100" t="s" s="0">
        <v>540</v>
      </c>
      <c r="D100" t="s" s="0">
        <v>541</v>
      </c>
      <c r="E100" t="s" s="0">
        <v>138</v>
      </c>
      <c r="F100" t="s" s="0">
        <v>542</v>
      </c>
      <c r="G100" t="s" s="0">
        <v>66</v>
      </c>
      <c r="H100" t="s" s="0">
        <v>209</v>
      </c>
      <c r="I100" t="s" s="0">
        <v>198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93</v>
      </c>
      <c r="O100" t="s">
        <v>32</v>
      </c>
      <c r="P100" t="s">
        <v>33</v>
      </c>
      <c r="Q100" t="s">
        <v>33</v>
      </c>
      <c r="R100" t="s">
        <v>33</v>
      </c>
      <c r="S100" t="s">
        <v>35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546</v>
      </c>
      <c r="B101" t="s" s="0">
        <v>24</v>
      </c>
      <c r="C101" t="s" s="0">
        <v>540</v>
      </c>
      <c r="D101" t="s" s="0">
        <v>547</v>
      </c>
      <c r="E101" t="s" s="0">
        <v>374</v>
      </c>
      <c r="F101" t="s" s="0">
        <v>548</v>
      </c>
      <c r="G101" t="s" s="0">
        <v>192</v>
      </c>
      <c r="H101" t="s" s="0">
        <v>193</v>
      </c>
      <c r="I101" t="s" s="0">
        <v>194</v>
      </c>
      <c r="J101" t="n" s="2">
        <v>1.12</v>
      </c>
      <c r="K101" t="s">
        <v>33</v>
      </c>
      <c r="L101" t="s">
        <v>33</v>
      </c>
      <c r="M101" s="3">
        <f>IFERROR(K101/J101,0)</f>
      </c>
      <c r="N101" t="s">
        <v>549</v>
      </c>
      <c r="O101" t="s">
        <v>32</v>
      </c>
      <c r="P101" t="s">
        <v>550</v>
      </c>
      <c r="Q101" t="s">
        <v>33</v>
      </c>
      <c r="R101" t="s">
        <v>551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546</v>
      </c>
      <c r="B102" t="s" s="0">
        <v>24</v>
      </c>
      <c r="C102" t="s" s="0">
        <v>540</v>
      </c>
      <c r="D102" t="s" s="0">
        <v>547</v>
      </c>
      <c r="E102" t="s" s="0">
        <v>374</v>
      </c>
      <c r="F102" t="s" s="0">
        <v>548</v>
      </c>
      <c r="G102" t="s" s="0">
        <v>66</v>
      </c>
      <c r="H102" t="s" s="0">
        <v>445</v>
      </c>
      <c r="I102" t="s" s="0">
        <v>198</v>
      </c>
      <c r="J102" t="n" s="2">
        <v>1.2</v>
      </c>
      <c r="K102" t="n" s="2">
        <v>1.13</v>
      </c>
      <c r="L102" t="n" s="2">
        <v>0.07</v>
      </c>
      <c r="M102" s="3">
        <f>IFERROR(K102/J102,0)</f>
      </c>
      <c r="N102" t="s">
        <v>549</v>
      </c>
      <c r="O102" t="s">
        <v>32</v>
      </c>
      <c r="P102" t="s">
        <v>552</v>
      </c>
      <c r="Q102" t="s">
        <v>552</v>
      </c>
      <c r="R102" t="s">
        <v>553</v>
      </c>
      <c r="S102" t="s">
        <v>42</v>
      </c>
      <c r="T102" t="n" s="2">
        <v>1.73</v>
      </c>
      <c r="U102" t="s">
        <v>554</v>
      </c>
      <c r="V102" t="s">
        <v>555</v>
      </c>
      <c r="W102" t="n" s="2">
        <v>0.53</v>
      </c>
    </row>
    <row r="103">
      <c r="A103" t="s" s="0">
        <v>546</v>
      </c>
      <c r="B103" t="s" s="0">
        <v>24</v>
      </c>
      <c r="C103" t="s" s="0">
        <v>540</v>
      </c>
      <c r="D103" t="s" s="0">
        <v>547</v>
      </c>
      <c r="E103" t="s" s="0">
        <v>374</v>
      </c>
      <c r="F103" t="s" s="0">
        <v>548</v>
      </c>
      <c r="G103" t="s" s="0">
        <v>66</v>
      </c>
      <c r="H103" t="s" s="0">
        <v>445</v>
      </c>
      <c r="I103" t="s" s="0">
        <v>194</v>
      </c>
      <c r="J103" t="n" s="2">
        <v>1.2</v>
      </c>
      <c r="K103" t="n" s="2">
        <v>1.13</v>
      </c>
      <c r="L103" t="n" s="2">
        <v>0.07</v>
      </c>
      <c r="M103" s="3">
        <f>IFERROR(K103/J103,0)</f>
      </c>
      <c r="N103" t="s">
        <v>549</v>
      </c>
      <c r="O103" t="s">
        <v>32</v>
      </c>
      <c r="P103" t="s">
        <v>552</v>
      </c>
      <c r="Q103" t="s">
        <v>552</v>
      </c>
      <c r="R103" t="s">
        <v>553</v>
      </c>
      <c r="S103" t="s">
        <v>35</v>
      </c>
      <c r="T103" t="n" s="2">
        <v>1.73</v>
      </c>
      <c r="U103" t="s">
        <v>554</v>
      </c>
      <c r="V103" t="s">
        <v>555</v>
      </c>
      <c r="W103" t="n" s="2">
        <v>0.53</v>
      </c>
    </row>
    <row r="104">
      <c r="A104" t="s" s="0">
        <v>556</v>
      </c>
      <c r="B104" t="s" s="0">
        <v>24</v>
      </c>
      <c r="C104" t="s" s="0">
        <v>540</v>
      </c>
      <c r="D104" t="s" s="0">
        <v>557</v>
      </c>
      <c r="E104" t="s" s="0">
        <v>558</v>
      </c>
      <c r="F104" t="s" s="0">
        <v>559</v>
      </c>
      <c r="G104" t="s" s="0">
        <v>66</v>
      </c>
      <c r="H104" t="s" s="0">
        <v>250</v>
      </c>
      <c r="I104" t="s" s="0">
        <v>443</v>
      </c>
      <c r="J104" t="n" s="2">
        <v>0.85</v>
      </c>
      <c r="K104" t="s">
        <v>33</v>
      </c>
      <c r="L104" t="s">
        <v>33</v>
      </c>
      <c r="M104" s="3">
        <f>IFERROR(K104/J104,0)</f>
      </c>
      <c r="N104" t="s">
        <v>376</v>
      </c>
      <c r="O104" t="s">
        <v>59</v>
      </c>
      <c r="P104" t="s">
        <v>560</v>
      </c>
      <c r="Q104" t="s">
        <v>33</v>
      </c>
      <c r="R104" t="s">
        <v>33</v>
      </c>
      <c r="S104" t="s">
        <v>32</v>
      </c>
      <c r="T104" t="n" s="2">
        <v>1.08</v>
      </c>
      <c r="U104" t="s">
        <v>561</v>
      </c>
      <c r="V104" t="s">
        <v>39</v>
      </c>
      <c r="W104" t="n" s="2">
        <v>0.23</v>
      </c>
    </row>
    <row r="105">
      <c r="A105" t="s" s="0">
        <v>562</v>
      </c>
      <c r="B105" t="s" s="0">
        <v>24</v>
      </c>
      <c r="C105" t="s" s="0">
        <v>540</v>
      </c>
      <c r="D105" t="s" s="0">
        <v>563</v>
      </c>
      <c r="E105" t="s" s="0">
        <v>558</v>
      </c>
      <c r="F105" t="s" s="0">
        <v>564</v>
      </c>
      <c r="G105" t="s" s="0">
        <v>46</v>
      </c>
      <c r="H105" t="s" s="0">
        <v>565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566</v>
      </c>
      <c r="O105" t="s">
        <v>59</v>
      </c>
      <c r="P105" t="s">
        <v>567</v>
      </c>
      <c r="Q105" t="s">
        <v>33</v>
      </c>
      <c r="R105" t="s">
        <v>568</v>
      </c>
      <c r="S105" t="s">
        <v>32</v>
      </c>
      <c r="T105" t="n" s="2">
        <v>2.22</v>
      </c>
      <c r="U105" t="s">
        <v>569</v>
      </c>
      <c r="V105" t="s">
        <v>39</v>
      </c>
      <c r="W105" t="n" s="2">
        <v>0.52</v>
      </c>
    </row>
    <row r="106">
      <c r="A106" t="s" s="0">
        <v>562</v>
      </c>
      <c r="B106" t="s" s="0">
        <v>24</v>
      </c>
      <c r="C106" t="s" s="0">
        <v>540</v>
      </c>
      <c r="D106" t="s" s="0">
        <v>563</v>
      </c>
      <c r="E106" t="s" s="0">
        <v>558</v>
      </c>
      <c r="F106" t="s" s="0">
        <v>564</v>
      </c>
      <c r="G106" t="s" s="0">
        <v>570</v>
      </c>
      <c r="H106" t="s" s="0">
        <v>435</v>
      </c>
      <c r="I106" t="s" s="0">
        <v>181</v>
      </c>
      <c r="J106" t="n" s="2">
        <v>2.2</v>
      </c>
      <c r="K106" t="s">
        <v>33</v>
      </c>
      <c r="L106" t="s">
        <v>33</v>
      </c>
      <c r="M106" s="3">
        <f>IFERROR(K106/J106,0)</f>
      </c>
      <c r="N106" t="s">
        <v>566</v>
      </c>
      <c r="O106" t="s">
        <v>59</v>
      </c>
      <c r="P106" t="s">
        <v>571</v>
      </c>
      <c r="Q106" t="s">
        <v>33</v>
      </c>
      <c r="R106" t="s">
        <v>572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562</v>
      </c>
      <c r="B107" t="s" s="0">
        <v>24</v>
      </c>
      <c r="C107" t="s" s="0">
        <v>540</v>
      </c>
      <c r="D107" t="s" s="0">
        <v>563</v>
      </c>
      <c r="E107" t="s" s="0">
        <v>558</v>
      </c>
      <c r="F107" t="s" s="0">
        <v>564</v>
      </c>
      <c r="G107" t="s" s="0">
        <v>46</v>
      </c>
      <c r="H107" t="s" s="0">
        <v>573</v>
      </c>
      <c r="I107" t="s" s="0">
        <v>31</v>
      </c>
      <c r="J107" t="n" s="2">
        <v>1.5</v>
      </c>
      <c r="K107" t="s">
        <v>33</v>
      </c>
      <c r="L107" t="s">
        <v>33</v>
      </c>
      <c r="M107" s="3">
        <f>IFERROR(K107/J107,0)</f>
      </c>
      <c r="N107" t="s">
        <v>566</v>
      </c>
      <c r="O107" t="s">
        <v>59</v>
      </c>
      <c r="P107" t="s">
        <v>574</v>
      </c>
      <c r="Q107" t="s">
        <v>33</v>
      </c>
      <c r="R107" t="s">
        <v>575</v>
      </c>
      <c r="S107" t="s">
        <v>35</v>
      </c>
      <c r="T107" t="n" s="2">
        <v>2.22</v>
      </c>
      <c r="U107" t="s">
        <v>219</v>
      </c>
      <c r="V107" t="s">
        <v>39</v>
      </c>
      <c r="W107" t="n" s="2">
        <v>0.72</v>
      </c>
    </row>
    <row r="108">
      <c r="A108" t="s" s="0">
        <v>576</v>
      </c>
      <c r="B108" t="s" s="0">
        <v>24</v>
      </c>
      <c r="C108" t="s" s="0">
        <v>540</v>
      </c>
      <c r="D108" t="s" s="0">
        <v>387</v>
      </c>
      <c r="E108" t="s" s="0">
        <v>577</v>
      </c>
      <c r="F108" t="s" s="0">
        <v>578</v>
      </c>
      <c r="G108" t="s" s="0">
        <v>66</v>
      </c>
      <c r="H108" t="s" s="0">
        <v>579</v>
      </c>
      <c r="I108" t="s" s="0">
        <v>443</v>
      </c>
      <c r="J108" t="n" s="2">
        <v>0.9</v>
      </c>
      <c r="K108" t="s">
        <v>33</v>
      </c>
      <c r="L108" t="s">
        <v>33</v>
      </c>
      <c r="M108" s="3">
        <f>IFERROR(K108/J108,0)</f>
      </c>
      <c r="N108" t="s">
        <v>392</v>
      </c>
      <c r="O108" t="s">
        <v>59</v>
      </c>
      <c r="P108" t="s">
        <v>580</v>
      </c>
      <c r="Q108" t="s">
        <v>33</v>
      </c>
      <c r="R108" t="s">
        <v>33</v>
      </c>
      <c r="S108" t="s">
        <v>32</v>
      </c>
      <c r="T108" t="n" s="2">
        <v>1.32</v>
      </c>
      <c r="U108" t="s">
        <v>581</v>
      </c>
      <c r="V108" t="s">
        <v>39</v>
      </c>
      <c r="W108" t="n" s="2">
        <v>0.42</v>
      </c>
    </row>
    <row r="109">
      <c r="A109" t="s" s="0">
        <v>576</v>
      </c>
      <c r="B109" t="s" s="0">
        <v>24</v>
      </c>
      <c r="C109" t="s" s="0">
        <v>540</v>
      </c>
      <c r="D109" t="s" s="0">
        <v>387</v>
      </c>
      <c r="E109" t="s" s="0">
        <v>577</v>
      </c>
      <c r="F109" t="s" s="0">
        <v>578</v>
      </c>
      <c r="G109" t="s" s="0">
        <v>66</v>
      </c>
      <c r="H109" t="s" s="0">
        <v>582</v>
      </c>
      <c r="I109" t="s" s="0">
        <v>198</v>
      </c>
      <c r="J109" t="n" s="2">
        <v>0.9</v>
      </c>
      <c r="K109" t="s">
        <v>33</v>
      </c>
      <c r="L109" t="s">
        <v>33</v>
      </c>
      <c r="M109" s="3">
        <f>IFERROR(K109/J109,0)</f>
      </c>
      <c r="N109" t="s">
        <v>392</v>
      </c>
      <c r="O109" t="s">
        <v>59</v>
      </c>
      <c r="P109" t="s">
        <v>583</v>
      </c>
      <c r="Q109" t="s">
        <v>33</v>
      </c>
      <c r="R109" t="s">
        <v>584</v>
      </c>
      <c r="S109" t="s">
        <v>42</v>
      </c>
      <c r="T109" t="n" s="2">
        <v>1.32</v>
      </c>
      <c r="U109" t="s">
        <v>581</v>
      </c>
      <c r="V109" t="s">
        <v>39</v>
      </c>
      <c r="W109" t="n" s="2">
        <v>0.42</v>
      </c>
    </row>
    <row r="110">
      <c r="A110" t="s" s="0">
        <v>585</v>
      </c>
      <c r="B110" t="s" s="0">
        <v>24</v>
      </c>
      <c r="C110" t="s" s="0">
        <v>540</v>
      </c>
      <c r="D110" t="s" s="0">
        <v>586</v>
      </c>
      <c r="E110" t="s" s="0">
        <v>138</v>
      </c>
      <c r="F110" t="s" s="0">
        <v>587</v>
      </c>
      <c r="G110" t="s" s="0">
        <v>224</v>
      </c>
      <c r="H110" t="s" s="0">
        <v>588</v>
      </c>
      <c r="I110" t="s" s="0">
        <v>198</v>
      </c>
      <c r="J110" t="n" s="2">
        <v>1.67</v>
      </c>
      <c r="K110" t="s">
        <v>33</v>
      </c>
      <c r="L110" t="s">
        <v>33</v>
      </c>
      <c r="M110" s="3">
        <f>IFERROR(K110/J110,0)</f>
      </c>
      <c r="N110" t="s">
        <v>195</v>
      </c>
      <c r="O110" t="s">
        <v>35</v>
      </c>
      <c r="P110" t="s">
        <v>589</v>
      </c>
      <c r="Q110" t="s">
        <v>33</v>
      </c>
      <c r="R110" t="s">
        <v>590</v>
      </c>
      <c r="S110" t="s">
        <v>32</v>
      </c>
      <c r="T110" t="n" s="2">
        <v>2.0</v>
      </c>
      <c r="U110" t="s">
        <v>591</v>
      </c>
      <c r="V110" t="s">
        <v>39</v>
      </c>
      <c r="W110" t="n" s="2">
        <v>0.33</v>
      </c>
    </row>
    <row r="111">
      <c r="A111" t="s" s="0">
        <v>585</v>
      </c>
      <c r="B111" t="s" s="0">
        <v>24</v>
      </c>
      <c r="C111" t="s" s="0">
        <v>540</v>
      </c>
      <c r="D111" t="s" s="0">
        <v>586</v>
      </c>
      <c r="E111" t="s" s="0">
        <v>138</v>
      </c>
      <c r="F111" t="s" s="0">
        <v>587</v>
      </c>
      <c r="G111" t="s" s="0">
        <v>46</v>
      </c>
      <c r="H111" t="s" s="0">
        <v>152</v>
      </c>
      <c r="I111" t="s" s="0">
        <v>31</v>
      </c>
      <c r="J111" t="n" s="2">
        <v>2.45</v>
      </c>
      <c r="K111" t="s">
        <v>33</v>
      </c>
      <c r="L111" t="s">
        <v>33</v>
      </c>
      <c r="M111" s="3">
        <f>IFERROR(K111/J111,0)</f>
      </c>
      <c r="N111" t="s">
        <v>195</v>
      </c>
      <c r="O111" t="s">
        <v>35</v>
      </c>
      <c r="P111" t="s">
        <v>592</v>
      </c>
      <c r="Q111" t="s">
        <v>33</v>
      </c>
      <c r="R111" t="s">
        <v>593</v>
      </c>
      <c r="S111" t="s">
        <v>42</v>
      </c>
      <c r="T111" t="n" s="2">
        <v>3.95</v>
      </c>
      <c r="U111" t="s">
        <v>594</v>
      </c>
      <c r="V111" t="s">
        <v>39</v>
      </c>
      <c r="W111" t="n" s="2">
        <v>1.5</v>
      </c>
    </row>
    <row r="112">
      <c r="A112" t="s" s="0">
        <v>585</v>
      </c>
      <c r="B112" t="s" s="0">
        <v>24</v>
      </c>
      <c r="C112" t="s" s="0">
        <v>540</v>
      </c>
      <c r="D112" t="s" s="0">
        <v>586</v>
      </c>
      <c r="E112" t="s" s="0">
        <v>138</v>
      </c>
      <c r="F112" t="s" s="0">
        <v>587</v>
      </c>
      <c r="G112" t="s" s="0">
        <v>46</v>
      </c>
      <c r="H112" t="s" s="0">
        <v>232</v>
      </c>
      <c r="I112" t="s" s="0">
        <v>31</v>
      </c>
      <c r="J112" t="n" s="2">
        <v>2.29</v>
      </c>
      <c r="K112" t="s">
        <v>33</v>
      </c>
      <c r="L112" t="s">
        <v>33</v>
      </c>
      <c r="M112" s="3">
        <f>IFERROR(K112/J112,0)</f>
      </c>
      <c r="N112" t="s">
        <v>195</v>
      </c>
      <c r="O112" t="s">
        <v>35</v>
      </c>
      <c r="P112" t="s">
        <v>595</v>
      </c>
      <c r="Q112" t="s">
        <v>33</v>
      </c>
      <c r="R112" t="s">
        <v>596</v>
      </c>
      <c r="S112" t="s">
        <v>35</v>
      </c>
      <c r="T112" t="n" s="2">
        <v>3.95</v>
      </c>
      <c r="U112" t="s">
        <v>597</v>
      </c>
      <c r="V112" t="s">
        <v>39</v>
      </c>
      <c r="W112" t="n" s="2">
        <v>1.66</v>
      </c>
    </row>
    <row r="113">
      <c r="A113" t="s" s="0">
        <v>585</v>
      </c>
      <c r="B113" t="s" s="0">
        <v>24</v>
      </c>
      <c r="C113" t="s" s="0">
        <v>540</v>
      </c>
      <c r="D113" t="s" s="0">
        <v>586</v>
      </c>
      <c r="E113" t="s" s="0">
        <v>138</v>
      </c>
      <c r="F113" t="s" s="0">
        <v>587</v>
      </c>
      <c r="G113" t="s" s="0">
        <v>46</v>
      </c>
      <c r="H113" t="s" s="0">
        <v>598</v>
      </c>
      <c r="I113" t="s" s="0">
        <v>31</v>
      </c>
      <c r="J113" t="n" s="2">
        <v>2.3</v>
      </c>
      <c r="K113" t="n" s="2">
        <v>1.8</v>
      </c>
      <c r="L113" t="n" s="2">
        <v>0.5</v>
      </c>
      <c r="M113" s="3">
        <f>IFERROR(K113/J113,0)</f>
      </c>
      <c r="N113" t="s">
        <v>195</v>
      </c>
      <c r="O113" t="s">
        <v>35</v>
      </c>
      <c r="P113" t="s">
        <v>599</v>
      </c>
      <c r="Q113" t="s">
        <v>600</v>
      </c>
      <c r="R113" t="s">
        <v>601</v>
      </c>
      <c r="S113" t="s">
        <v>83</v>
      </c>
      <c r="T113" t="n" s="2">
        <v>3.95</v>
      </c>
      <c r="U113" t="s">
        <v>602</v>
      </c>
      <c r="V113" t="s">
        <v>603</v>
      </c>
      <c r="W113" t="n" s="2">
        <v>1.65</v>
      </c>
    </row>
    <row r="114">
      <c r="A114" t="s" s="0">
        <v>604</v>
      </c>
      <c r="B114" t="s" s="0">
        <v>24</v>
      </c>
      <c r="C114" t="s" s="0">
        <v>540</v>
      </c>
      <c r="D114" t="s" s="0">
        <v>605</v>
      </c>
      <c r="E114" t="s" s="0">
        <v>558</v>
      </c>
      <c r="F114" t="s" s="0">
        <v>606</v>
      </c>
      <c r="G114" t="s" s="0">
        <v>46</v>
      </c>
      <c r="H114" t="s" s="0">
        <v>286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607</v>
      </c>
      <c r="O114" t="s">
        <v>59</v>
      </c>
      <c r="P114" t="s">
        <v>455</v>
      </c>
      <c r="Q114" t="s">
        <v>33</v>
      </c>
      <c r="R114" t="s">
        <v>608</v>
      </c>
      <c r="S114" t="s">
        <v>32</v>
      </c>
      <c r="T114" t="n" s="2">
        <v>3.1</v>
      </c>
      <c r="U114" t="s">
        <v>609</v>
      </c>
      <c r="V114" t="s">
        <v>39</v>
      </c>
      <c r="W114" t="n" s="2">
        <v>0.8</v>
      </c>
    </row>
    <row r="115">
      <c r="A115" t="s" s="0">
        <v>604</v>
      </c>
      <c r="B115" t="s" s="0">
        <v>24</v>
      </c>
      <c r="C115" t="s" s="0">
        <v>540</v>
      </c>
      <c r="D115" t="s" s="0">
        <v>605</v>
      </c>
      <c r="E115" t="s" s="0">
        <v>558</v>
      </c>
      <c r="F115" t="s" s="0">
        <v>606</v>
      </c>
      <c r="G115" t="s" s="0">
        <v>46</v>
      </c>
      <c r="H115" t="s" s="0">
        <v>610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607</v>
      </c>
      <c r="O115" t="s">
        <v>59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611</v>
      </c>
      <c r="B116" t="s" s="0">
        <v>24</v>
      </c>
      <c r="C116" t="s" s="0">
        <v>540</v>
      </c>
      <c r="D116" t="s" s="0">
        <v>612</v>
      </c>
      <c r="E116" t="s" s="0">
        <v>362</v>
      </c>
      <c r="F116" t="s" s="0">
        <v>613</v>
      </c>
      <c r="G116" t="s" s="0">
        <v>614</v>
      </c>
      <c r="H116" t="s" s="0">
        <v>193</v>
      </c>
      <c r="I116" t="s" s="0">
        <v>391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46</v>
      </c>
      <c r="O116" t="s">
        <v>42</v>
      </c>
      <c r="P116" t="s">
        <v>615</v>
      </c>
      <c r="Q116" t="s">
        <v>33</v>
      </c>
      <c r="R116" t="s">
        <v>616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611</v>
      </c>
      <c r="B117" t="s" s="0">
        <v>24</v>
      </c>
      <c r="C117" t="s" s="0">
        <v>540</v>
      </c>
      <c r="D117" t="s" s="0">
        <v>612</v>
      </c>
      <c r="E117" t="s" s="0">
        <v>362</v>
      </c>
      <c r="F117" t="s" s="0">
        <v>613</v>
      </c>
      <c r="G117" t="s" s="0">
        <v>66</v>
      </c>
      <c r="H117" t="s" s="0">
        <v>209</v>
      </c>
      <c r="I117" t="s" s="0">
        <v>443</v>
      </c>
      <c r="J117" t="n" s="2">
        <v>1.05</v>
      </c>
      <c r="K117" t="s">
        <v>33</v>
      </c>
      <c r="L117" t="s">
        <v>33</v>
      </c>
      <c r="M117" s="3">
        <f>IFERROR(K117/J117,0)</f>
      </c>
      <c r="N117" t="s">
        <v>46</v>
      </c>
      <c r="O117" t="s">
        <v>42</v>
      </c>
      <c r="P117" t="s">
        <v>617</v>
      </c>
      <c r="Q117" t="s">
        <v>33</v>
      </c>
      <c r="R117" t="s">
        <v>618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611</v>
      </c>
      <c r="B118" t="s" s="0">
        <v>24</v>
      </c>
      <c r="C118" t="s" s="0">
        <v>540</v>
      </c>
      <c r="D118" t="s" s="0">
        <v>612</v>
      </c>
      <c r="E118" t="s" s="0">
        <v>362</v>
      </c>
      <c r="F118" t="s" s="0">
        <v>613</v>
      </c>
      <c r="G118" t="s" s="0">
        <v>46</v>
      </c>
      <c r="H118" t="s" s="0">
        <v>152</v>
      </c>
      <c r="I118" t="s" s="0">
        <v>31</v>
      </c>
      <c r="J118" t="n" s="2">
        <v>1.7</v>
      </c>
      <c r="K118" t="s">
        <v>33</v>
      </c>
      <c r="L118" t="s">
        <v>33</v>
      </c>
      <c r="M118" s="3">
        <f>IFERROR(K118/J118,0)</f>
      </c>
      <c r="N118" t="s">
        <v>46</v>
      </c>
      <c r="O118" t="s">
        <v>42</v>
      </c>
      <c r="P118" t="s">
        <v>619</v>
      </c>
      <c r="Q118" t="s">
        <v>33</v>
      </c>
      <c r="R118" t="s">
        <v>620</v>
      </c>
      <c r="S118" t="s">
        <v>35</v>
      </c>
      <c r="T118" t="n" s="2">
        <v>2.28</v>
      </c>
      <c r="U118" t="s">
        <v>621</v>
      </c>
      <c r="V118" t="s">
        <v>39</v>
      </c>
      <c r="W118" t="n" s="2">
        <v>0.58</v>
      </c>
    </row>
    <row r="119">
      <c r="A119" t="s" s="0">
        <v>611</v>
      </c>
      <c r="B119" t="s" s="0">
        <v>24</v>
      </c>
      <c r="C119" t="s" s="0">
        <v>540</v>
      </c>
      <c r="D119" t="s" s="0">
        <v>612</v>
      </c>
      <c r="E119" t="s" s="0">
        <v>362</v>
      </c>
      <c r="F119" t="s" s="0">
        <v>613</v>
      </c>
      <c r="G119" t="s" s="0">
        <v>622</v>
      </c>
      <c r="H119" t="s" s="0">
        <v>623</v>
      </c>
      <c r="I119" t="s" s="0">
        <v>181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46</v>
      </c>
      <c r="O119" t="s">
        <v>42</v>
      </c>
      <c r="P119" t="s">
        <v>624</v>
      </c>
      <c r="Q119" t="s">
        <v>625</v>
      </c>
      <c r="R119" t="s">
        <v>626</v>
      </c>
      <c r="S119" t="s">
        <v>83</v>
      </c>
      <c r="U119" t="s">
        <v>39</v>
      </c>
      <c r="V119" t="s">
        <v>39</v>
      </c>
      <c r="W119" t="s">
        <v>39</v>
      </c>
    </row>
    <row r="120">
      <c r="A120" t="s" s="0">
        <v>627</v>
      </c>
      <c r="B120" t="s" s="0">
        <v>24</v>
      </c>
      <c r="C120" t="s" s="0">
        <v>540</v>
      </c>
      <c r="D120" t="s" s="0">
        <v>628</v>
      </c>
      <c r="E120" t="s" s="0">
        <v>103</v>
      </c>
      <c r="F120" t="s" s="0">
        <v>427</v>
      </c>
      <c r="G120" t="s" s="0">
        <v>150</v>
      </c>
      <c r="H120" t="s" s="0">
        <v>629</v>
      </c>
      <c r="I120" t="s" s="0">
        <v>31</v>
      </c>
      <c r="J120" t="n" s="2">
        <v>3.6</v>
      </c>
      <c r="K120" t="n" s="2">
        <v>3.0</v>
      </c>
      <c r="L120" t="n" s="2">
        <v>0.6</v>
      </c>
      <c r="M120" s="3">
        <f>IFERROR(K120/J120,0)</f>
      </c>
      <c r="N120" t="s">
        <v>588</v>
      </c>
      <c r="O120" t="s">
        <v>35</v>
      </c>
      <c r="P120" t="s">
        <v>630</v>
      </c>
      <c r="Q120" t="s">
        <v>630</v>
      </c>
      <c r="R120" t="s">
        <v>631</v>
      </c>
      <c r="S120" t="s">
        <v>32</v>
      </c>
      <c r="T120" t="n" s="2">
        <v>4.95</v>
      </c>
      <c r="U120" t="s">
        <v>632</v>
      </c>
      <c r="V120" t="s">
        <v>633</v>
      </c>
      <c r="W120" t="n" s="2">
        <v>1.35</v>
      </c>
    </row>
    <row r="121">
      <c r="A121" t="s" s="0">
        <v>627</v>
      </c>
      <c r="B121" t="s" s="0">
        <v>24</v>
      </c>
      <c r="C121" t="s" s="0">
        <v>540</v>
      </c>
      <c r="D121" t="s" s="0">
        <v>628</v>
      </c>
      <c r="E121" t="s" s="0">
        <v>103</v>
      </c>
      <c r="F121" t="s" s="0">
        <v>427</v>
      </c>
      <c r="G121" t="s" s="0">
        <v>150</v>
      </c>
      <c r="H121" t="s" s="0">
        <v>634</v>
      </c>
      <c r="I121" t="s" s="0">
        <v>31</v>
      </c>
      <c r="J121" t="n" s="2">
        <v>3.5</v>
      </c>
      <c r="K121" t="s">
        <v>33</v>
      </c>
      <c r="L121" t="s">
        <v>33</v>
      </c>
      <c r="M121" s="3">
        <f>IFERROR(K121/J121,0)</f>
      </c>
      <c r="N121" t="s">
        <v>588</v>
      </c>
      <c r="O121" t="s">
        <v>35</v>
      </c>
      <c r="P121" t="s">
        <v>635</v>
      </c>
      <c r="Q121" t="s">
        <v>33</v>
      </c>
      <c r="R121" t="s">
        <v>33</v>
      </c>
      <c r="S121" t="s">
        <v>42</v>
      </c>
      <c r="T121" t="n" s="2">
        <v>4.95</v>
      </c>
      <c r="U121" t="s">
        <v>228</v>
      </c>
      <c r="V121" t="s">
        <v>39</v>
      </c>
      <c r="W121" t="n" s="2">
        <v>1.45</v>
      </c>
    </row>
    <row r="122">
      <c r="A122" t="s" s="0">
        <v>627</v>
      </c>
      <c r="B122" t="s" s="0">
        <v>24</v>
      </c>
      <c r="C122" t="s" s="0">
        <v>540</v>
      </c>
      <c r="D122" t="s" s="0">
        <v>628</v>
      </c>
      <c r="E122" t="s" s="0">
        <v>103</v>
      </c>
      <c r="F122" t="s" s="0">
        <v>427</v>
      </c>
      <c r="G122" t="s" s="0">
        <v>46</v>
      </c>
      <c r="H122" t="s" s="0">
        <v>417</v>
      </c>
      <c r="I122" t="s" s="0">
        <v>181</v>
      </c>
      <c r="J122" t="n" s="2">
        <v>4.1</v>
      </c>
      <c r="K122" t="n" s="2">
        <v>3.0</v>
      </c>
      <c r="L122" t="n" s="2">
        <v>1.1</v>
      </c>
      <c r="M122" s="3">
        <f>IFERROR(K122/J122,0)</f>
      </c>
      <c r="N122" t="s">
        <v>588</v>
      </c>
      <c r="O122" t="s">
        <v>35</v>
      </c>
      <c r="P122" t="s">
        <v>636</v>
      </c>
      <c r="Q122" t="s">
        <v>637</v>
      </c>
      <c r="R122" t="s">
        <v>638</v>
      </c>
      <c r="S122" t="s">
        <v>35</v>
      </c>
      <c r="T122" t="n" s="2">
        <v>5.6</v>
      </c>
      <c r="U122" t="s">
        <v>639</v>
      </c>
      <c r="V122" t="s">
        <v>640</v>
      </c>
      <c r="W122" t="n" s="2">
        <v>1.5</v>
      </c>
    </row>
    <row r="123">
      <c r="A123" t="s" s="0">
        <v>627</v>
      </c>
      <c r="B123" t="s" s="0">
        <v>24</v>
      </c>
      <c r="C123" t="s" s="0">
        <v>540</v>
      </c>
      <c r="D123" t="s" s="0">
        <v>628</v>
      </c>
      <c r="E123" t="s" s="0">
        <v>103</v>
      </c>
      <c r="F123" t="s" s="0">
        <v>427</v>
      </c>
      <c r="G123" t="s" s="0">
        <v>46</v>
      </c>
      <c r="H123" t="s" s="0">
        <v>641</v>
      </c>
      <c r="I123" t="s" s="0">
        <v>642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588</v>
      </c>
      <c r="O123" t="s">
        <v>35</v>
      </c>
      <c r="P123" t="s">
        <v>33</v>
      </c>
      <c r="Q123" t="s">
        <v>33</v>
      </c>
      <c r="R123" t="s">
        <v>33</v>
      </c>
      <c r="S123" t="s">
        <v>83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643</v>
      </c>
      <c r="B124" t="s" s="0">
        <v>24</v>
      </c>
      <c r="C124" t="s" s="0">
        <v>540</v>
      </c>
      <c r="D124" t="s" s="0">
        <v>644</v>
      </c>
      <c r="E124" t="s" s="0">
        <v>645</v>
      </c>
      <c r="F124" t="s" s="0">
        <v>646</v>
      </c>
      <c r="G124" t="s" s="0">
        <v>29</v>
      </c>
      <c r="H124" t="s" s="0">
        <v>647</v>
      </c>
      <c r="I124" t="s" s="0">
        <v>31</v>
      </c>
      <c r="J124" t="n" s="2">
        <v>3.2</v>
      </c>
      <c r="K124" t="s">
        <v>33</v>
      </c>
      <c r="L124" t="s">
        <v>33</v>
      </c>
      <c r="M124" s="3">
        <f>IFERROR(K124/J124,0)</f>
      </c>
      <c r="N124" t="s">
        <v>648</v>
      </c>
      <c r="O124" t="s">
        <v>59</v>
      </c>
      <c r="P124" t="s">
        <v>649</v>
      </c>
      <c r="Q124" t="s">
        <v>33</v>
      </c>
      <c r="R124" t="s">
        <v>650</v>
      </c>
      <c r="S124" t="s">
        <v>32</v>
      </c>
      <c r="T124" t="n" s="2">
        <v>4.4</v>
      </c>
      <c r="U124" t="s">
        <v>632</v>
      </c>
      <c r="V124" t="s">
        <v>39</v>
      </c>
      <c r="W124" t="n" s="2">
        <v>1.2</v>
      </c>
    </row>
    <row r="125">
      <c r="A125" t="s" s="0">
        <v>643</v>
      </c>
      <c r="B125" t="s" s="0">
        <v>24</v>
      </c>
      <c r="C125" t="s" s="0">
        <v>540</v>
      </c>
      <c r="D125" t="s" s="0">
        <v>644</v>
      </c>
      <c r="E125" t="s" s="0">
        <v>645</v>
      </c>
      <c r="F125" t="s" s="0">
        <v>646</v>
      </c>
      <c r="G125" t="s" s="0">
        <v>651</v>
      </c>
      <c r="H125" t="s" s="0">
        <v>652</v>
      </c>
      <c r="I125" t="s" s="0">
        <v>31</v>
      </c>
      <c r="J125" t="n" s="2">
        <v>3.55</v>
      </c>
      <c r="K125" t="s">
        <v>33</v>
      </c>
      <c r="L125" t="s">
        <v>33</v>
      </c>
      <c r="M125" s="3">
        <f>IFERROR(K125/J125,0)</f>
      </c>
      <c r="N125" t="s">
        <v>648</v>
      </c>
      <c r="O125" t="s">
        <v>59</v>
      </c>
      <c r="P125" t="s">
        <v>653</v>
      </c>
      <c r="Q125" t="s">
        <v>33</v>
      </c>
      <c r="R125" t="s">
        <v>654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643</v>
      </c>
      <c r="B126" t="s" s="0">
        <v>24</v>
      </c>
      <c r="C126" t="s" s="0">
        <v>540</v>
      </c>
      <c r="D126" t="s" s="0">
        <v>644</v>
      </c>
      <c r="E126" t="s" s="0">
        <v>645</v>
      </c>
      <c r="F126" t="s" s="0">
        <v>646</v>
      </c>
      <c r="G126" t="s" s="0">
        <v>46</v>
      </c>
      <c r="H126" t="s" s="0">
        <v>641</v>
      </c>
      <c r="I126" t="s" s="0">
        <v>31</v>
      </c>
      <c r="J126" t="n" s="2">
        <v>4.1</v>
      </c>
      <c r="K126" t="s">
        <v>33</v>
      </c>
      <c r="L126" t="s">
        <v>33</v>
      </c>
      <c r="M126" s="3">
        <f>IFERROR(K126/J126,0)</f>
      </c>
      <c r="N126" t="s">
        <v>648</v>
      </c>
      <c r="O126" t="s">
        <v>59</v>
      </c>
      <c r="P126" t="s">
        <v>655</v>
      </c>
      <c r="Q126" t="s">
        <v>33</v>
      </c>
      <c r="R126" t="s">
        <v>656</v>
      </c>
      <c r="S126" t="s">
        <v>35</v>
      </c>
      <c r="T126" t="n" s="2">
        <v>5.53</v>
      </c>
      <c r="U126" t="s">
        <v>657</v>
      </c>
      <c r="V126" t="s">
        <v>39</v>
      </c>
      <c r="W126" t="n" s="2">
        <v>1.43</v>
      </c>
    </row>
    <row r="127">
      <c r="A127" t="s" s="0">
        <v>658</v>
      </c>
      <c r="B127" t="s" s="0">
        <v>24</v>
      </c>
      <c r="C127" t="s" s="0">
        <v>659</v>
      </c>
      <c r="D127" t="s" s="0">
        <v>660</v>
      </c>
      <c r="E127" t="s" s="0">
        <v>661</v>
      </c>
      <c r="F127" t="s" s="0">
        <v>662</v>
      </c>
      <c r="G127" t="s" s="0">
        <v>40</v>
      </c>
      <c r="H127" t="s" s="0">
        <v>663</v>
      </c>
      <c r="I127" t="s" s="0">
        <v>31</v>
      </c>
      <c r="J127" t="n" s="2">
        <v>3.8</v>
      </c>
      <c r="K127" t="n" s="2">
        <v>2.6</v>
      </c>
      <c r="L127" t="n" s="2">
        <v>1.2</v>
      </c>
      <c r="M127" s="3">
        <f>IFERROR(K127/J127,0)</f>
      </c>
      <c r="N127" t="s">
        <v>664</v>
      </c>
      <c r="O127" t="s">
        <v>83</v>
      </c>
      <c r="P127" t="s">
        <v>665</v>
      </c>
      <c r="Q127" t="s">
        <v>665</v>
      </c>
      <c r="R127" t="s">
        <v>666</v>
      </c>
      <c r="S127" t="s">
        <v>32</v>
      </c>
      <c r="T127" t="n" s="2">
        <v>4.335</v>
      </c>
      <c r="U127" t="s">
        <v>667</v>
      </c>
      <c r="V127" t="s">
        <v>668</v>
      </c>
      <c r="W127" t="n" s="2">
        <v>0.54</v>
      </c>
    </row>
    <row r="128">
      <c r="A128" t="s" s="0">
        <v>658</v>
      </c>
      <c r="B128" t="s" s="0">
        <v>24</v>
      </c>
      <c r="C128" t="s" s="0">
        <v>659</v>
      </c>
      <c r="D128" t="s" s="0">
        <v>660</v>
      </c>
      <c r="E128" t="s" s="0">
        <v>661</v>
      </c>
      <c r="F128" t="s" s="0">
        <v>662</v>
      </c>
      <c r="G128" t="s" s="0">
        <v>208</v>
      </c>
      <c r="H128" t="s" s="0">
        <v>179</v>
      </c>
      <c r="I128" t="s" s="0">
        <v>31</v>
      </c>
      <c r="J128" t="n" s="2">
        <v>4.3</v>
      </c>
      <c r="K128" t="n" s="2">
        <v>3.0</v>
      </c>
      <c r="L128" t="n" s="2">
        <v>1.3</v>
      </c>
      <c r="M128" s="3">
        <f>IFERROR(K128/J128,0)</f>
      </c>
      <c r="N128" t="s">
        <v>664</v>
      </c>
      <c r="O128" t="s">
        <v>83</v>
      </c>
      <c r="P128" t="s">
        <v>669</v>
      </c>
      <c r="Q128" t="s">
        <v>670</v>
      </c>
      <c r="R128" t="s">
        <v>671</v>
      </c>
      <c r="S128" t="s">
        <v>42</v>
      </c>
      <c r="T128" t="n" s="2">
        <v>5.725</v>
      </c>
      <c r="U128" t="s">
        <v>672</v>
      </c>
      <c r="V128" t="s">
        <v>673</v>
      </c>
      <c r="W128" t="n" s="2">
        <v>1.43</v>
      </c>
    </row>
    <row r="129">
      <c r="A129" t="s" s="0">
        <v>674</v>
      </c>
      <c r="B129" t="s" s="0">
        <v>24</v>
      </c>
      <c r="C129" t="s" s="0">
        <v>659</v>
      </c>
      <c r="D129" t="s" s="0">
        <v>675</v>
      </c>
      <c r="E129" t="s" s="0">
        <v>388</v>
      </c>
      <c r="F129" t="s" s="0">
        <v>676</v>
      </c>
      <c r="G129" t="s" s="0">
        <v>46</v>
      </c>
      <c r="H129" t="s" s="0">
        <v>179</v>
      </c>
      <c r="I129" t="s" s="0">
        <v>31</v>
      </c>
      <c r="J129" t="n" s="2">
        <v>1.8</v>
      </c>
      <c r="K129" t="n" s="2">
        <v>1.6</v>
      </c>
      <c r="L129" t="n" s="2">
        <v>0.2</v>
      </c>
      <c r="M129" s="3">
        <f>IFERROR(K129/J129,0)</f>
      </c>
      <c r="N129" t="s">
        <v>677</v>
      </c>
      <c r="O129" t="s">
        <v>93</v>
      </c>
      <c r="P129" t="s">
        <v>678</v>
      </c>
      <c r="Q129" t="s">
        <v>679</v>
      </c>
      <c r="R129" t="s">
        <v>33</v>
      </c>
      <c r="S129" t="s">
        <v>32</v>
      </c>
      <c r="T129" t="n" s="2">
        <v>2.44</v>
      </c>
      <c r="U129" t="s">
        <v>206</v>
      </c>
      <c r="V129" t="s">
        <v>680</v>
      </c>
      <c r="W129" t="n" s="2">
        <v>0.64</v>
      </c>
    </row>
    <row r="130">
      <c r="A130" t="s" s="0">
        <v>674</v>
      </c>
      <c r="B130" t="s" s="0">
        <v>24</v>
      </c>
      <c r="C130" t="s" s="0">
        <v>659</v>
      </c>
      <c r="D130" t="s" s="0">
        <v>675</v>
      </c>
      <c r="E130" t="s" s="0">
        <v>388</v>
      </c>
      <c r="F130" t="s" s="0">
        <v>676</v>
      </c>
      <c r="G130" t="s" s="0">
        <v>57</v>
      </c>
      <c r="H130" t="s" s="0">
        <v>681</v>
      </c>
      <c r="I130" t="s" s="0">
        <v>181</v>
      </c>
      <c r="J130" t="n" s="2">
        <v>2.15</v>
      </c>
      <c r="K130" t="n" s="2">
        <v>2.0</v>
      </c>
      <c r="L130" t="n" s="2">
        <v>0.15</v>
      </c>
      <c r="M130" s="3">
        <f>IFERROR(K130/J130,0)</f>
      </c>
      <c r="N130" t="s">
        <v>677</v>
      </c>
      <c r="O130" t="s">
        <v>93</v>
      </c>
      <c r="P130" t="s">
        <v>682</v>
      </c>
      <c r="Q130" t="s">
        <v>683</v>
      </c>
      <c r="R130" t="s">
        <v>33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674</v>
      </c>
      <c r="B131" t="s" s="0">
        <v>24</v>
      </c>
      <c r="C131" t="s" s="0">
        <v>659</v>
      </c>
      <c r="D131" t="s" s="0">
        <v>675</v>
      </c>
      <c r="E131" t="s" s="0">
        <v>388</v>
      </c>
      <c r="F131" t="s" s="0">
        <v>676</v>
      </c>
      <c r="G131" t="s" s="0">
        <v>492</v>
      </c>
      <c r="H131" t="s" s="0">
        <v>684</v>
      </c>
      <c r="I131" t="s" s="0">
        <v>181</v>
      </c>
      <c r="J131" t="n" s="2">
        <v>3.0</v>
      </c>
      <c r="K131" t="n" s="2">
        <v>2.6</v>
      </c>
      <c r="L131" t="n" s="2">
        <v>0.4</v>
      </c>
      <c r="M131" s="3">
        <f>IFERROR(K131/J131,0)</f>
      </c>
      <c r="N131" t="s">
        <v>677</v>
      </c>
      <c r="O131" t="s">
        <v>93</v>
      </c>
      <c r="P131" t="s">
        <v>685</v>
      </c>
      <c r="Q131" t="s">
        <v>686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687</v>
      </c>
      <c r="B132" t="s" s="0">
        <v>24</v>
      </c>
      <c r="C132" t="s" s="0">
        <v>659</v>
      </c>
      <c r="D132" t="s" s="0">
        <v>688</v>
      </c>
      <c r="E132" t="s" s="0">
        <v>362</v>
      </c>
      <c r="F132" t="s" s="0">
        <v>689</v>
      </c>
      <c r="G132" t="s" s="0">
        <v>66</v>
      </c>
      <c r="H132" t="s" s="0">
        <v>690</v>
      </c>
      <c r="I132" t="s" s="0">
        <v>198</v>
      </c>
      <c r="J132" t="n" s="2">
        <v>1.35</v>
      </c>
      <c r="K132" t="s">
        <v>33</v>
      </c>
      <c r="L132" t="s">
        <v>33</v>
      </c>
      <c r="M132" s="3">
        <f>IFERROR(K132/J132,0)</f>
      </c>
      <c r="N132" t="s">
        <v>114</v>
      </c>
      <c r="O132" t="s">
        <v>59</v>
      </c>
      <c r="P132" t="s">
        <v>691</v>
      </c>
      <c r="Q132" t="s">
        <v>33</v>
      </c>
      <c r="R132" t="s">
        <v>692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687</v>
      </c>
      <c r="B133" t="s" s="0">
        <v>24</v>
      </c>
      <c r="C133" t="s" s="0">
        <v>659</v>
      </c>
      <c r="D133" t="s" s="0">
        <v>688</v>
      </c>
      <c r="E133" t="s" s="0">
        <v>362</v>
      </c>
      <c r="F133" t="s" s="0">
        <v>689</v>
      </c>
      <c r="G133" t="s" s="0">
        <v>46</v>
      </c>
      <c r="H133" t="s" s="0">
        <v>693</v>
      </c>
      <c r="I133" t="s" s="0">
        <v>31</v>
      </c>
      <c r="J133" t="n" s="2">
        <v>1.9</v>
      </c>
      <c r="K133" t="s">
        <v>33</v>
      </c>
      <c r="L133" t="s">
        <v>33</v>
      </c>
      <c r="M133" s="3">
        <f>IFERROR(K133/J133,0)</f>
      </c>
      <c r="N133" t="s">
        <v>114</v>
      </c>
      <c r="O133" t="s">
        <v>59</v>
      </c>
      <c r="P133" t="s">
        <v>694</v>
      </c>
      <c r="Q133" t="s">
        <v>33</v>
      </c>
      <c r="R133" t="s">
        <v>695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687</v>
      </c>
      <c r="B134" t="s" s="0">
        <v>24</v>
      </c>
      <c r="C134" t="s" s="0">
        <v>659</v>
      </c>
      <c r="D134" t="s" s="0">
        <v>688</v>
      </c>
      <c r="E134" t="s" s="0">
        <v>362</v>
      </c>
      <c r="F134" t="s" s="0">
        <v>689</v>
      </c>
      <c r="G134" t="s" s="0">
        <v>66</v>
      </c>
      <c r="H134" t="s" s="0">
        <v>202</v>
      </c>
      <c r="I134" t="s" s="0">
        <v>198</v>
      </c>
      <c r="J134" t="n" s="2">
        <v>1.33</v>
      </c>
      <c r="K134" t="s">
        <v>33</v>
      </c>
      <c r="L134" t="s">
        <v>33</v>
      </c>
      <c r="M134" s="3">
        <f>IFERROR(K134/J134,0)</f>
      </c>
      <c r="N134" t="s">
        <v>114</v>
      </c>
      <c r="O134" t="s">
        <v>59</v>
      </c>
      <c r="P134" t="s">
        <v>696</v>
      </c>
      <c r="Q134" t="s">
        <v>33</v>
      </c>
      <c r="R134" t="s">
        <v>697</v>
      </c>
      <c r="S134" t="s">
        <v>35</v>
      </c>
      <c r="U134" t="s">
        <v>39</v>
      </c>
      <c r="V134" t="s">
        <v>39</v>
      </c>
      <c r="W134" t="s">
        <v>39</v>
      </c>
    </row>
    <row r="135">
      <c r="A135" t="s" s="0">
        <v>687</v>
      </c>
      <c r="B135" t="s" s="0">
        <v>24</v>
      </c>
      <c r="C135" t="s" s="0">
        <v>659</v>
      </c>
      <c r="D135" t="s" s="0">
        <v>688</v>
      </c>
      <c r="E135" t="s" s="0">
        <v>362</v>
      </c>
      <c r="F135" t="s" s="0">
        <v>689</v>
      </c>
      <c r="G135" t="s" s="0">
        <v>46</v>
      </c>
      <c r="H135" t="s" s="0">
        <v>698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114</v>
      </c>
      <c r="O135" t="s">
        <v>59</v>
      </c>
      <c r="P135" t="s">
        <v>33</v>
      </c>
      <c r="Q135" t="s">
        <v>33</v>
      </c>
      <c r="R135" t="s">
        <v>33</v>
      </c>
      <c r="S135" t="s">
        <v>83</v>
      </c>
      <c r="U135" t="s">
        <v>39</v>
      </c>
      <c r="V135" t="s">
        <v>39</v>
      </c>
      <c r="W135" t="s">
        <v>39</v>
      </c>
    </row>
    <row r="136">
      <c r="A136" t="s" s="0">
        <v>687</v>
      </c>
      <c r="B136" t="s" s="0">
        <v>24</v>
      </c>
      <c r="C136" t="s" s="0">
        <v>659</v>
      </c>
      <c r="D136" t="s" s="0">
        <v>688</v>
      </c>
      <c r="E136" t="s" s="0">
        <v>362</v>
      </c>
      <c r="F136" t="s" s="0">
        <v>689</v>
      </c>
      <c r="G136" t="s" s="0">
        <v>46</v>
      </c>
      <c r="H136" t="s" s="0">
        <v>699</v>
      </c>
      <c r="I136" t="s" s="0">
        <v>31</v>
      </c>
      <c r="J136" t="n" s="2">
        <v>1.6</v>
      </c>
      <c r="K136" t="s">
        <v>33</v>
      </c>
      <c r="L136" t="s">
        <v>33</v>
      </c>
      <c r="M136" s="3">
        <f>IFERROR(K136/J136,0)</f>
      </c>
      <c r="N136" t="s">
        <v>114</v>
      </c>
      <c r="O136" t="s">
        <v>59</v>
      </c>
      <c r="P136" t="s">
        <v>700</v>
      </c>
      <c r="Q136" t="s">
        <v>33</v>
      </c>
      <c r="R136" t="s">
        <v>701</v>
      </c>
      <c r="S136" t="s">
        <v>88</v>
      </c>
      <c r="U136" t="s">
        <v>39</v>
      </c>
      <c r="V136" t="s">
        <v>39</v>
      </c>
      <c r="W136" t="s">
        <v>39</v>
      </c>
    </row>
    <row r="137">
      <c r="A137" t="s" s="0">
        <v>702</v>
      </c>
      <c r="B137" t="s" s="0">
        <v>24</v>
      </c>
      <c r="C137" t="s" s="0">
        <v>659</v>
      </c>
      <c r="D137" t="s" s="0">
        <v>703</v>
      </c>
      <c r="E137" t="s" s="0">
        <v>55</v>
      </c>
      <c r="F137" t="s" s="0">
        <v>704</v>
      </c>
      <c r="G137" t="s" s="0">
        <v>46</v>
      </c>
      <c r="H137" t="s" s="0">
        <v>705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392</v>
      </c>
      <c r="O137" t="s">
        <v>42</v>
      </c>
      <c r="P137" t="s">
        <v>706</v>
      </c>
      <c r="Q137" t="s">
        <v>33</v>
      </c>
      <c r="R137" t="s">
        <v>707</v>
      </c>
      <c r="S137" t="s">
        <v>32</v>
      </c>
      <c r="T137" t="n" s="2">
        <v>4.4</v>
      </c>
      <c r="U137" t="s">
        <v>708</v>
      </c>
      <c r="V137" t="s">
        <v>39</v>
      </c>
      <c r="W137" t="n" s="2">
        <v>0.6</v>
      </c>
    </row>
    <row r="138">
      <c r="A138" t="s" s="0">
        <v>702</v>
      </c>
      <c r="B138" t="s" s="0">
        <v>24</v>
      </c>
      <c r="C138" t="s" s="0">
        <v>659</v>
      </c>
      <c r="D138" t="s" s="0">
        <v>703</v>
      </c>
      <c r="E138" t="s" s="0">
        <v>55</v>
      </c>
      <c r="F138" t="s" s="0">
        <v>704</v>
      </c>
      <c r="G138" t="s" s="0">
        <v>47</v>
      </c>
      <c r="H138" t="s" s="0">
        <v>185</v>
      </c>
      <c r="I138" t="s" s="0">
        <v>181</v>
      </c>
      <c r="J138" t="n" s="2">
        <v>4.25</v>
      </c>
      <c r="K138" t="s">
        <v>33</v>
      </c>
      <c r="L138" t="s">
        <v>33</v>
      </c>
      <c r="M138" s="3">
        <f>IFERROR(K138/J138,0)</f>
      </c>
      <c r="N138" t="s">
        <v>392</v>
      </c>
      <c r="O138" t="s">
        <v>42</v>
      </c>
      <c r="P138" t="s">
        <v>709</v>
      </c>
      <c r="Q138" t="s">
        <v>33</v>
      </c>
      <c r="R138" t="s">
        <v>710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702</v>
      </c>
      <c r="B139" t="s" s="0">
        <v>24</v>
      </c>
      <c r="C139" t="s" s="0">
        <v>659</v>
      </c>
      <c r="D139" t="s" s="0">
        <v>703</v>
      </c>
      <c r="E139" t="s" s="0">
        <v>55</v>
      </c>
      <c r="F139" t="s" s="0">
        <v>704</v>
      </c>
      <c r="G139" t="s" s="0">
        <v>488</v>
      </c>
      <c r="H139" t="s" s="0">
        <v>711</v>
      </c>
      <c r="I139" t="s" s="0">
        <v>181</v>
      </c>
      <c r="J139" t="n" s="2">
        <v>4.7</v>
      </c>
      <c r="K139" t="n" s="2">
        <v>3.5</v>
      </c>
      <c r="L139" t="n" s="2">
        <v>1.2</v>
      </c>
      <c r="M139" s="3">
        <f>IFERROR(K139/J139,0)</f>
      </c>
      <c r="N139" t="s">
        <v>392</v>
      </c>
      <c r="O139" t="s">
        <v>42</v>
      </c>
      <c r="P139" t="s">
        <v>712</v>
      </c>
      <c r="Q139" t="s">
        <v>713</v>
      </c>
      <c r="R139" t="s">
        <v>714</v>
      </c>
      <c r="S139" t="s">
        <v>35</v>
      </c>
      <c r="U139" t="s">
        <v>39</v>
      </c>
      <c r="V139" t="s">
        <v>39</v>
      </c>
      <c r="W139" t="s">
        <v>39</v>
      </c>
    </row>
    <row r="140">
      <c r="A140" t="s" s="0">
        <v>702</v>
      </c>
      <c r="B140" t="s" s="0">
        <v>24</v>
      </c>
      <c r="C140" t="s" s="0">
        <v>659</v>
      </c>
      <c r="D140" t="s" s="0">
        <v>703</v>
      </c>
      <c r="E140" t="s" s="0">
        <v>55</v>
      </c>
      <c r="F140" t="s" s="0">
        <v>704</v>
      </c>
      <c r="G140" t="s" s="0">
        <v>715</v>
      </c>
      <c r="H140" t="s" s="0">
        <v>716</v>
      </c>
      <c r="I140" t="s" s="0">
        <v>717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392</v>
      </c>
      <c r="O140" t="s">
        <v>42</v>
      </c>
      <c r="P140" t="s">
        <v>33</v>
      </c>
      <c r="Q140" t="s">
        <v>33</v>
      </c>
      <c r="R140" t="s">
        <v>33</v>
      </c>
      <c r="S140" t="s">
        <v>83</v>
      </c>
      <c r="U140" t="s">
        <v>39</v>
      </c>
      <c r="V140" t="s">
        <v>39</v>
      </c>
      <c r="W140" t="s">
        <v>39</v>
      </c>
    </row>
    <row r="141">
      <c r="A141" t="s" s="0">
        <v>718</v>
      </c>
      <c r="B141" t="s" s="0">
        <v>24</v>
      </c>
      <c r="C141" t="s" s="0">
        <v>659</v>
      </c>
      <c r="D141" t="s" s="0">
        <v>719</v>
      </c>
      <c r="E141" t="s" s="0">
        <v>720</v>
      </c>
      <c r="F141" t="s" s="0">
        <v>721</v>
      </c>
      <c r="G141" t="s" s="0">
        <v>192</v>
      </c>
      <c r="H141" t="s" s="0">
        <v>224</v>
      </c>
      <c r="I141" t="s" s="0">
        <v>391</v>
      </c>
      <c r="J141" t="n" s="2">
        <v>0.79</v>
      </c>
      <c r="K141" t="s">
        <v>33</v>
      </c>
      <c r="L141" t="s">
        <v>33</v>
      </c>
      <c r="M141" s="3">
        <f>IFERROR(K141/J141,0)</f>
      </c>
      <c r="N141" t="s">
        <v>153</v>
      </c>
      <c r="O141" t="s">
        <v>59</v>
      </c>
      <c r="P141" t="s">
        <v>722</v>
      </c>
      <c r="Q141" t="s">
        <v>33</v>
      </c>
      <c r="R141" t="s">
        <v>723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718</v>
      </c>
      <c r="B142" t="s" s="0">
        <v>24</v>
      </c>
      <c r="C142" t="s" s="0">
        <v>659</v>
      </c>
      <c r="D142" t="s" s="0">
        <v>719</v>
      </c>
      <c r="E142" t="s" s="0">
        <v>720</v>
      </c>
      <c r="F142" t="s" s="0">
        <v>721</v>
      </c>
      <c r="G142" t="s" s="0">
        <v>724</v>
      </c>
      <c r="H142" t="s" s="0">
        <v>150</v>
      </c>
      <c r="I142" t="s" s="0">
        <v>443</v>
      </c>
      <c r="J142" t="n" s="2">
        <v>1.05</v>
      </c>
      <c r="K142" t="s">
        <v>33</v>
      </c>
      <c r="L142" t="s">
        <v>33</v>
      </c>
      <c r="M142" s="3">
        <f>IFERROR(K142/J142,0)</f>
      </c>
      <c r="N142" t="s">
        <v>153</v>
      </c>
      <c r="O142" t="s">
        <v>59</v>
      </c>
      <c r="P142" t="s">
        <v>725</v>
      </c>
      <c r="Q142" t="s">
        <v>33</v>
      </c>
      <c r="R142" t="s">
        <v>726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718</v>
      </c>
      <c r="B143" t="s" s="0">
        <v>24</v>
      </c>
      <c r="C143" t="s" s="0">
        <v>659</v>
      </c>
      <c r="D143" t="s" s="0">
        <v>719</v>
      </c>
      <c r="E143" t="s" s="0">
        <v>720</v>
      </c>
      <c r="F143" t="s" s="0">
        <v>721</v>
      </c>
      <c r="G143" t="s" s="0">
        <v>66</v>
      </c>
      <c r="H143" t="s" s="0">
        <v>68</v>
      </c>
      <c r="I143" t="s" s="0">
        <v>443</v>
      </c>
      <c r="J143" t="n" s="2">
        <v>0.9</v>
      </c>
      <c r="K143" t="s">
        <v>33</v>
      </c>
      <c r="L143" t="s">
        <v>33</v>
      </c>
      <c r="M143" s="3">
        <f>IFERROR(K143/J143,0)</f>
      </c>
      <c r="N143" t="s">
        <v>153</v>
      </c>
      <c r="O143" t="s">
        <v>59</v>
      </c>
      <c r="P143" t="s">
        <v>727</v>
      </c>
      <c r="Q143" t="s">
        <v>33</v>
      </c>
      <c r="R143" t="s">
        <v>728</v>
      </c>
      <c r="S143" t="s">
        <v>35</v>
      </c>
      <c r="T143" t="n" s="2">
        <v>1.375</v>
      </c>
      <c r="U143" t="s">
        <v>729</v>
      </c>
      <c r="V143" t="s">
        <v>39</v>
      </c>
      <c r="W143" t="n" s="2">
        <v>0.48</v>
      </c>
    </row>
    <row r="144">
      <c r="A144" t="s" s="0">
        <v>730</v>
      </c>
      <c r="B144" t="s" s="0">
        <v>24</v>
      </c>
      <c r="C144" t="s" s="0">
        <v>659</v>
      </c>
      <c r="D144" t="s" s="0">
        <v>731</v>
      </c>
      <c r="E144" t="s" s="0">
        <v>401</v>
      </c>
      <c r="F144" t="s" s="0">
        <v>732</v>
      </c>
      <c r="G144" t="s" s="0">
        <v>66</v>
      </c>
      <c r="H144" t="s" s="0">
        <v>733</v>
      </c>
      <c r="I144" t="s" s="0">
        <v>198</v>
      </c>
      <c r="J144" t="n" s="2">
        <v>1.72</v>
      </c>
      <c r="K144" t="s">
        <v>33</v>
      </c>
      <c r="L144" t="s">
        <v>33</v>
      </c>
      <c r="M144" s="3">
        <f>IFERROR(K144/J144,0)</f>
      </c>
      <c r="N144" t="s">
        <v>734</v>
      </c>
      <c r="O144" t="s">
        <v>59</v>
      </c>
      <c r="P144" t="s">
        <v>735</v>
      </c>
      <c r="Q144" t="s">
        <v>33</v>
      </c>
      <c r="R144" t="s">
        <v>736</v>
      </c>
      <c r="S144" t="s">
        <v>32</v>
      </c>
      <c r="T144" t="n" s="2">
        <v>1.8</v>
      </c>
      <c r="U144" t="s">
        <v>737</v>
      </c>
      <c r="V144" t="s">
        <v>39</v>
      </c>
      <c r="W144" t="n" s="2">
        <v>0.08</v>
      </c>
    </row>
    <row r="145">
      <c r="A145" t="s" s="0">
        <v>730</v>
      </c>
      <c r="B145" t="s" s="0">
        <v>24</v>
      </c>
      <c r="C145" t="s" s="0">
        <v>659</v>
      </c>
      <c r="D145" t="s" s="0">
        <v>731</v>
      </c>
      <c r="E145" t="s" s="0">
        <v>401</v>
      </c>
      <c r="F145" t="s" s="0">
        <v>732</v>
      </c>
      <c r="G145" t="s" s="0">
        <v>46</v>
      </c>
      <c r="H145" t="s" s="0">
        <v>693</v>
      </c>
      <c r="I145" t="s" s="0">
        <v>31</v>
      </c>
      <c r="J145" t="n" s="2">
        <v>2.7</v>
      </c>
      <c r="K145" t="s">
        <v>33</v>
      </c>
      <c r="L145" t="s">
        <v>33</v>
      </c>
      <c r="M145" s="3">
        <f>IFERROR(K145/J145,0)</f>
      </c>
      <c r="N145" t="s">
        <v>734</v>
      </c>
      <c r="O145" t="s">
        <v>59</v>
      </c>
      <c r="P145" t="s">
        <v>738</v>
      </c>
      <c r="Q145" t="s">
        <v>33</v>
      </c>
      <c r="R145" t="s">
        <v>739</v>
      </c>
      <c r="S145" t="s">
        <v>42</v>
      </c>
      <c r="T145" t="n" s="2">
        <v>3.47</v>
      </c>
      <c r="U145" t="s">
        <v>740</v>
      </c>
      <c r="V145" t="s">
        <v>39</v>
      </c>
      <c r="W145" t="n" s="2">
        <v>0.77</v>
      </c>
    </row>
    <row r="146">
      <c r="A146" t="s" s="0">
        <v>730</v>
      </c>
      <c r="B146" t="s" s="0">
        <v>24</v>
      </c>
      <c r="C146" t="s" s="0">
        <v>659</v>
      </c>
      <c r="D146" t="s" s="0">
        <v>731</v>
      </c>
      <c r="E146" t="s" s="0">
        <v>401</v>
      </c>
      <c r="F146" t="s" s="0">
        <v>732</v>
      </c>
      <c r="G146" t="s" s="0">
        <v>485</v>
      </c>
      <c r="H146" t="s" s="0">
        <v>741</v>
      </c>
      <c r="I146" t="s" s="0">
        <v>181</v>
      </c>
      <c r="J146" t="n" s="2">
        <v>2.79</v>
      </c>
      <c r="K146" t="s">
        <v>33</v>
      </c>
      <c r="L146" t="s">
        <v>33</v>
      </c>
      <c r="M146" s="3">
        <f>IFERROR(K146/J146,0)</f>
      </c>
      <c r="N146" t="s">
        <v>734</v>
      </c>
      <c r="O146" t="s">
        <v>59</v>
      </c>
      <c r="P146" t="s">
        <v>742</v>
      </c>
      <c r="Q146" t="s">
        <v>33</v>
      </c>
      <c r="R146" t="s">
        <v>743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730</v>
      </c>
      <c r="B147" t="s" s="0">
        <v>24</v>
      </c>
      <c r="C147" t="s" s="0">
        <v>659</v>
      </c>
      <c r="D147" t="s" s="0">
        <v>731</v>
      </c>
      <c r="E147" t="s" s="0">
        <v>401</v>
      </c>
      <c r="F147" t="s" s="0">
        <v>732</v>
      </c>
      <c r="G147" t="s" s="0">
        <v>681</v>
      </c>
      <c r="H147" t="s" s="0">
        <v>744</v>
      </c>
      <c r="I147" t="s" s="0">
        <v>181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734</v>
      </c>
      <c r="O147" t="s">
        <v>59</v>
      </c>
      <c r="P147" t="s">
        <v>745</v>
      </c>
      <c r="Q147" t="s">
        <v>33</v>
      </c>
      <c r="R147" t="s">
        <v>746</v>
      </c>
      <c r="S147" t="s">
        <v>83</v>
      </c>
      <c r="U147" t="s">
        <v>39</v>
      </c>
      <c r="V147" t="s">
        <v>39</v>
      </c>
      <c r="W147" t="s">
        <v>39</v>
      </c>
    </row>
    <row r="148">
      <c r="A148" t="s" s="0">
        <v>730</v>
      </c>
      <c r="B148" t="s" s="0">
        <v>24</v>
      </c>
      <c r="C148" t="s" s="0">
        <v>659</v>
      </c>
      <c r="D148" t="s" s="0">
        <v>731</v>
      </c>
      <c r="E148" t="s" s="0">
        <v>401</v>
      </c>
      <c r="F148" t="s" s="0">
        <v>732</v>
      </c>
      <c r="G148" t="s" s="0">
        <v>747</v>
      </c>
      <c r="H148" t="s" s="0">
        <v>748</v>
      </c>
      <c r="I148" t="s" s="0">
        <v>181</v>
      </c>
      <c r="J148" t="n" s="2">
        <v>4.85</v>
      </c>
      <c r="K148" t="s">
        <v>33</v>
      </c>
      <c r="L148" t="s">
        <v>33</v>
      </c>
      <c r="M148" s="3">
        <f>IFERROR(K148/J148,0)</f>
      </c>
      <c r="N148" t="s">
        <v>734</v>
      </c>
      <c r="O148" t="s">
        <v>59</v>
      </c>
      <c r="P148" t="s">
        <v>749</v>
      </c>
      <c r="Q148" t="s">
        <v>33</v>
      </c>
      <c r="R148" t="s">
        <v>750</v>
      </c>
      <c r="S148" t="s">
        <v>88</v>
      </c>
      <c r="U148" t="s">
        <v>39</v>
      </c>
      <c r="V148" t="s">
        <v>39</v>
      </c>
      <c r="W148" t="s">
        <v>39</v>
      </c>
    </row>
    <row r="149">
      <c r="A149" t="s" s="0">
        <v>730</v>
      </c>
      <c r="B149" t="s" s="0">
        <v>24</v>
      </c>
      <c r="C149" t="s" s="0">
        <v>659</v>
      </c>
      <c r="D149" t="s" s="0">
        <v>731</v>
      </c>
      <c r="E149" t="s" s="0">
        <v>401</v>
      </c>
      <c r="F149" t="s" s="0">
        <v>732</v>
      </c>
      <c r="G149" t="s" s="0">
        <v>46</v>
      </c>
      <c r="H149" t="s" s="0">
        <v>698</v>
      </c>
      <c r="I149" t="s" s="0">
        <v>31</v>
      </c>
      <c r="J149" t="n" s="2">
        <v>2.55</v>
      </c>
      <c r="K149" t="s">
        <v>33</v>
      </c>
      <c r="L149" t="s">
        <v>33</v>
      </c>
      <c r="M149" s="3">
        <f>IFERROR(K149/J149,0)</f>
      </c>
      <c r="N149" t="s">
        <v>734</v>
      </c>
      <c r="O149" t="s">
        <v>59</v>
      </c>
      <c r="P149" t="s">
        <v>619</v>
      </c>
      <c r="Q149" t="s">
        <v>33</v>
      </c>
      <c r="R149" t="s">
        <v>751</v>
      </c>
      <c r="S149" t="s">
        <v>93</v>
      </c>
      <c r="T149" t="n" s="2">
        <v>3.47</v>
      </c>
      <c r="U149" t="s">
        <v>752</v>
      </c>
      <c r="V149" t="s">
        <v>39</v>
      </c>
      <c r="W149" t="n" s="2">
        <v>0.92</v>
      </c>
    </row>
    <row r="150">
      <c r="A150" t="s" s="0">
        <v>753</v>
      </c>
      <c r="B150" t="s" s="0">
        <v>24</v>
      </c>
      <c r="C150" t="s" s="0">
        <v>659</v>
      </c>
      <c r="D150" t="s" s="0">
        <v>754</v>
      </c>
      <c r="E150" t="s" s="0">
        <v>577</v>
      </c>
      <c r="F150" t="s" s="0">
        <v>755</v>
      </c>
      <c r="G150" t="s" s="0">
        <v>250</v>
      </c>
      <c r="H150" t="s" s="0">
        <v>41</v>
      </c>
      <c r="I150" t="s" s="0">
        <v>31</v>
      </c>
      <c r="J150" t="n" s="2">
        <v>1.65</v>
      </c>
      <c r="K150" t="s">
        <v>33</v>
      </c>
      <c r="L150" t="s">
        <v>33</v>
      </c>
      <c r="M150" s="3">
        <f>IFERROR(K150/J150,0)</f>
      </c>
      <c r="N150" t="s">
        <v>153</v>
      </c>
      <c r="O150" t="s">
        <v>32</v>
      </c>
      <c r="P150" t="s">
        <v>756</v>
      </c>
      <c r="Q150" t="s">
        <v>33</v>
      </c>
      <c r="R150" t="s">
        <v>757</v>
      </c>
      <c r="S150" t="s">
        <v>32</v>
      </c>
      <c r="T150" t="n" s="2">
        <v>1.9</v>
      </c>
      <c r="U150" t="s">
        <v>758</v>
      </c>
      <c r="V150" t="s">
        <v>39</v>
      </c>
      <c r="W150" t="n" s="2">
        <v>0.25</v>
      </c>
    </row>
    <row r="151">
      <c r="A151" t="s" s="0">
        <v>753</v>
      </c>
      <c r="B151" t="s" s="0">
        <v>24</v>
      </c>
      <c r="C151" t="s" s="0">
        <v>659</v>
      </c>
      <c r="D151" t="s" s="0">
        <v>754</v>
      </c>
      <c r="E151" t="s" s="0">
        <v>577</v>
      </c>
      <c r="F151" t="s" s="0">
        <v>755</v>
      </c>
      <c r="G151" t="s" s="0">
        <v>46</v>
      </c>
      <c r="H151" t="s" s="0">
        <v>128</v>
      </c>
      <c r="I151" t="s" s="0">
        <v>31</v>
      </c>
      <c r="J151" t="n" s="2">
        <v>2.0</v>
      </c>
      <c r="K151" t="s">
        <v>33</v>
      </c>
      <c r="L151" t="s">
        <v>33</v>
      </c>
      <c r="M151" s="3">
        <f>IFERROR(K151/J151,0)</f>
      </c>
      <c r="N151" t="s">
        <v>153</v>
      </c>
      <c r="O151" t="s">
        <v>32</v>
      </c>
      <c r="P151" t="s">
        <v>759</v>
      </c>
      <c r="Q151" t="s">
        <v>33</v>
      </c>
      <c r="R151" t="s">
        <v>760</v>
      </c>
      <c r="S151" t="s">
        <v>42</v>
      </c>
      <c r="T151" t="n" s="2">
        <v>2.42</v>
      </c>
      <c r="U151" t="s">
        <v>761</v>
      </c>
      <c r="V151" t="s">
        <v>39</v>
      </c>
      <c r="W151" t="n" s="2">
        <v>0.42</v>
      </c>
    </row>
    <row r="152">
      <c r="A152" t="s" s="0">
        <v>753</v>
      </c>
      <c r="B152" t="s" s="0">
        <v>24</v>
      </c>
      <c r="C152" t="s" s="0">
        <v>659</v>
      </c>
      <c r="D152" t="s" s="0">
        <v>754</v>
      </c>
      <c r="E152" t="s" s="0">
        <v>577</v>
      </c>
      <c r="F152" t="s" s="0">
        <v>755</v>
      </c>
      <c r="G152" t="s" s="0">
        <v>741</v>
      </c>
      <c r="H152" t="s" s="0">
        <v>762</v>
      </c>
      <c r="I152" t="s" s="0">
        <v>181</v>
      </c>
      <c r="J152" t="n" s="2">
        <v>2.8</v>
      </c>
      <c r="K152" t="n" s="2">
        <v>2.3</v>
      </c>
      <c r="L152" t="n" s="2">
        <v>0.5</v>
      </c>
      <c r="M152" s="3">
        <f>IFERROR(K152/J152,0)</f>
      </c>
      <c r="N152" t="s">
        <v>153</v>
      </c>
      <c r="O152" t="s">
        <v>32</v>
      </c>
      <c r="P152" t="s">
        <v>763</v>
      </c>
      <c r="Q152" t="s">
        <v>764</v>
      </c>
      <c r="R152" t="s">
        <v>765</v>
      </c>
      <c r="S152" t="s">
        <v>35</v>
      </c>
      <c r="U152" t="s">
        <v>39</v>
      </c>
      <c r="V152" t="s">
        <v>39</v>
      </c>
      <c r="W152" t="s">
        <v>39</v>
      </c>
    </row>
    <row r="153">
      <c r="A153" t="s" s="0">
        <v>766</v>
      </c>
      <c r="B153" t="s" s="0">
        <v>24</v>
      </c>
      <c r="C153" t="s" s="0">
        <v>659</v>
      </c>
      <c r="D153" t="s" s="0">
        <v>767</v>
      </c>
      <c r="E153" t="s" s="0">
        <v>388</v>
      </c>
      <c r="F153" t="s" s="0">
        <v>475</v>
      </c>
      <c r="G153" t="s" s="0">
        <v>46</v>
      </c>
      <c r="H153" t="s" s="0">
        <v>768</v>
      </c>
      <c r="I153" t="s" s="0">
        <v>31</v>
      </c>
      <c r="J153" t="n" s="2">
        <v>1.7</v>
      </c>
      <c r="K153" t="s">
        <v>33</v>
      </c>
      <c r="L153" t="s">
        <v>33</v>
      </c>
      <c r="M153" s="3">
        <f>IFERROR(K153/J153,0)</f>
      </c>
      <c r="N153" t="s">
        <v>453</v>
      </c>
      <c r="O153" t="s">
        <v>32</v>
      </c>
      <c r="P153" t="s">
        <v>769</v>
      </c>
      <c r="Q153" t="s">
        <v>33</v>
      </c>
      <c r="R153" t="s">
        <v>33</v>
      </c>
      <c r="S153" t="s">
        <v>32</v>
      </c>
      <c r="T153" t="n" s="2">
        <v>2.55</v>
      </c>
      <c r="U153" t="s">
        <v>448</v>
      </c>
      <c r="V153" t="s">
        <v>39</v>
      </c>
      <c r="W153" t="n" s="2">
        <v>0.85</v>
      </c>
    </row>
    <row r="154">
      <c r="A154" t="s" s="0">
        <v>770</v>
      </c>
      <c r="B154" t="s" s="0">
        <v>24</v>
      </c>
      <c r="C154" t="s" s="0">
        <v>659</v>
      </c>
      <c r="D154" t="s" s="0">
        <v>771</v>
      </c>
      <c r="E154" t="s" s="0">
        <v>772</v>
      </c>
      <c r="F154" t="s" s="0">
        <v>773</v>
      </c>
      <c r="G154" t="s" s="0">
        <v>46</v>
      </c>
      <c r="H154" t="s" s="0">
        <v>774</v>
      </c>
      <c r="I154" t="s" s="0">
        <v>31</v>
      </c>
      <c r="J154" t="n" s="2">
        <v>1.7</v>
      </c>
      <c r="K154" t="s">
        <v>33</v>
      </c>
      <c r="L154" t="s">
        <v>33</v>
      </c>
      <c r="M154" s="3">
        <f>IFERROR(K154/J154,0)</f>
      </c>
      <c r="N154" t="s">
        <v>453</v>
      </c>
      <c r="O154" t="s">
        <v>93</v>
      </c>
      <c r="P154" t="s">
        <v>775</v>
      </c>
      <c r="Q154" t="s">
        <v>33</v>
      </c>
      <c r="R154" t="s">
        <v>776</v>
      </c>
      <c r="S154" t="s">
        <v>32</v>
      </c>
      <c r="T154" t="n" s="2">
        <v>2.45</v>
      </c>
      <c r="U154" t="s">
        <v>554</v>
      </c>
      <c r="V154" t="s">
        <v>39</v>
      </c>
      <c r="W154" t="n" s="2">
        <v>0.75</v>
      </c>
    </row>
    <row r="155">
      <c r="A155" t="s" s="0">
        <v>770</v>
      </c>
      <c r="B155" t="s" s="0">
        <v>24</v>
      </c>
      <c r="C155" t="s" s="0">
        <v>659</v>
      </c>
      <c r="D155" t="s" s="0">
        <v>771</v>
      </c>
      <c r="E155" t="s" s="0">
        <v>772</v>
      </c>
      <c r="F155" t="s" s="0">
        <v>773</v>
      </c>
      <c r="G155" t="s" s="0">
        <v>46</v>
      </c>
      <c r="H155" t="s" s="0">
        <v>634</v>
      </c>
      <c r="I155" t="s" s="0">
        <v>31</v>
      </c>
      <c r="J155" t="n" s="2">
        <v>1.63</v>
      </c>
      <c r="K155" t="n" s="2">
        <v>1.3</v>
      </c>
      <c r="L155" t="n" s="2">
        <v>0.33</v>
      </c>
      <c r="M155" s="3">
        <f>IFERROR(K155/J155,0)</f>
      </c>
      <c r="N155" t="s">
        <v>453</v>
      </c>
      <c r="O155" t="s">
        <v>93</v>
      </c>
      <c r="P155" t="s">
        <v>777</v>
      </c>
      <c r="Q155" t="s">
        <v>778</v>
      </c>
      <c r="R155" t="s">
        <v>779</v>
      </c>
      <c r="S155" t="s">
        <v>42</v>
      </c>
      <c r="T155" t="n" s="2">
        <v>2.45</v>
      </c>
      <c r="U155" t="s">
        <v>780</v>
      </c>
      <c r="V155" t="s">
        <v>781</v>
      </c>
      <c r="W155" t="n" s="2">
        <v>0.82</v>
      </c>
    </row>
    <row r="156">
      <c r="A156" t="s" s="0">
        <v>782</v>
      </c>
      <c r="B156" t="s" s="0">
        <v>24</v>
      </c>
      <c r="C156" t="s" s="0">
        <v>659</v>
      </c>
      <c r="D156" t="s" s="0">
        <v>783</v>
      </c>
      <c r="E156" t="s" s="0">
        <v>411</v>
      </c>
      <c r="F156" t="s" s="0">
        <v>784</v>
      </c>
      <c r="G156" t="s" s="0">
        <v>66</v>
      </c>
      <c r="H156" t="s" s="0">
        <v>68</v>
      </c>
      <c r="I156" t="s" s="0">
        <v>31</v>
      </c>
      <c r="J156" t="n" s="2">
        <v>2.3</v>
      </c>
      <c r="K156" t="n" s="2">
        <v>2.0</v>
      </c>
      <c r="L156" t="n" s="2">
        <v>0.3</v>
      </c>
      <c r="M156" s="3">
        <f>IFERROR(K156/J156,0)</f>
      </c>
      <c r="N156" t="s">
        <v>179</v>
      </c>
      <c r="O156" t="s">
        <v>93</v>
      </c>
      <c r="P156" t="s">
        <v>785</v>
      </c>
      <c r="Q156" t="s">
        <v>786</v>
      </c>
      <c r="R156" t="s">
        <v>787</v>
      </c>
      <c r="S156" t="s">
        <v>32</v>
      </c>
      <c r="T156" t="n" s="2">
        <v>2.98</v>
      </c>
      <c r="U156" t="s">
        <v>788</v>
      </c>
      <c r="V156" t="s">
        <v>789</v>
      </c>
      <c r="W156" t="n" s="2">
        <v>0.68</v>
      </c>
    </row>
    <row r="157">
      <c r="A157" t="s" s="0">
        <v>782</v>
      </c>
      <c r="B157" t="s" s="0">
        <v>24</v>
      </c>
      <c r="C157" t="s" s="0">
        <v>659</v>
      </c>
      <c r="D157" t="s" s="0">
        <v>783</v>
      </c>
      <c r="E157" t="s" s="0">
        <v>411</v>
      </c>
      <c r="F157" t="s" s="0">
        <v>784</v>
      </c>
      <c r="G157" t="s" s="0">
        <v>790</v>
      </c>
      <c r="H157" t="s" s="0">
        <v>768</v>
      </c>
      <c r="I157" t="s" s="0">
        <v>31</v>
      </c>
      <c r="J157" t="n" s="2">
        <v>2.95</v>
      </c>
      <c r="K157" t="s">
        <v>33</v>
      </c>
      <c r="L157" t="s">
        <v>33</v>
      </c>
      <c r="M157" s="3">
        <f>IFERROR(K157/J157,0)</f>
      </c>
      <c r="N157" t="s">
        <v>179</v>
      </c>
      <c r="O157" t="s">
        <v>93</v>
      </c>
      <c r="P157" t="s">
        <v>791</v>
      </c>
      <c r="Q157" t="s">
        <v>33</v>
      </c>
      <c r="R157" t="s">
        <v>792</v>
      </c>
      <c r="S157" t="s">
        <v>42</v>
      </c>
      <c r="T157" t="n" s="2">
        <v>4.08</v>
      </c>
      <c r="U157" t="s">
        <v>793</v>
      </c>
      <c r="V157" t="s">
        <v>39</v>
      </c>
      <c r="W157" t="n" s="2">
        <v>1.13</v>
      </c>
    </row>
    <row r="158">
      <c r="A158" t="s" s="0">
        <v>782</v>
      </c>
      <c r="B158" t="s" s="0">
        <v>24</v>
      </c>
      <c r="C158" t="s" s="0">
        <v>659</v>
      </c>
      <c r="D158" t="s" s="0">
        <v>783</v>
      </c>
      <c r="E158" t="s" s="0">
        <v>411</v>
      </c>
      <c r="F158" t="s" s="0">
        <v>784</v>
      </c>
      <c r="G158" t="s" s="0">
        <v>46</v>
      </c>
      <c r="H158" t="s" s="0">
        <v>794</v>
      </c>
      <c r="I158" t="s" s="0">
        <v>31</v>
      </c>
      <c r="J158" t="n" s="2">
        <v>2.95</v>
      </c>
      <c r="K158" t="s">
        <v>33</v>
      </c>
      <c r="L158" t="s">
        <v>33</v>
      </c>
      <c r="M158" s="3">
        <f>IFERROR(K158/J158,0)</f>
      </c>
      <c r="N158" t="s">
        <v>179</v>
      </c>
      <c r="O158" t="s">
        <v>93</v>
      </c>
      <c r="P158" t="s">
        <v>795</v>
      </c>
      <c r="Q158" t="s">
        <v>33</v>
      </c>
      <c r="R158" t="s">
        <v>796</v>
      </c>
      <c r="S158" t="s">
        <v>35</v>
      </c>
      <c r="T158" t="n" s="2">
        <v>4.35</v>
      </c>
      <c r="U158" t="s">
        <v>797</v>
      </c>
      <c r="V158" t="s">
        <v>39</v>
      </c>
      <c r="W158" t="n" s="2">
        <v>1.4</v>
      </c>
    </row>
    <row r="159">
      <c r="A159" t="s" s="0">
        <v>782</v>
      </c>
      <c r="B159" t="s" s="0">
        <v>24</v>
      </c>
      <c r="C159" t="s" s="0">
        <v>659</v>
      </c>
      <c r="D159" t="s" s="0">
        <v>783</v>
      </c>
      <c r="E159" t="s" s="0">
        <v>411</v>
      </c>
      <c r="F159" t="s" s="0">
        <v>784</v>
      </c>
      <c r="G159" t="s" s="0">
        <v>179</v>
      </c>
      <c r="H159" t="s" s="0">
        <v>798</v>
      </c>
      <c r="I159" t="s" s="0">
        <v>31</v>
      </c>
      <c r="J159" t="n" s="2">
        <v>3.6</v>
      </c>
      <c r="K159" t="s">
        <v>33</v>
      </c>
      <c r="L159" t="s">
        <v>33</v>
      </c>
      <c r="M159" s="3">
        <f>IFERROR(K159/J159,0)</f>
      </c>
      <c r="N159" t="s">
        <v>179</v>
      </c>
      <c r="O159" t="s">
        <v>93</v>
      </c>
      <c r="P159" t="s">
        <v>799</v>
      </c>
      <c r="Q159" t="s">
        <v>33</v>
      </c>
      <c r="R159" t="s">
        <v>800</v>
      </c>
      <c r="S159" t="s">
        <v>83</v>
      </c>
      <c r="U159" t="s">
        <v>39</v>
      </c>
      <c r="V159" t="s">
        <v>39</v>
      </c>
      <c r="W159" t="s">
        <v>39</v>
      </c>
    </row>
    <row r="160">
      <c r="A160" t="s" s="0">
        <v>782</v>
      </c>
      <c r="B160" t="s" s="0">
        <v>24</v>
      </c>
      <c r="C160" t="s" s="0">
        <v>659</v>
      </c>
      <c r="D160" t="s" s="0">
        <v>783</v>
      </c>
      <c r="E160" t="s" s="0">
        <v>411</v>
      </c>
      <c r="F160" t="s" s="0">
        <v>784</v>
      </c>
      <c r="G160" t="s" s="0">
        <v>801</v>
      </c>
      <c r="H160" t="s" s="0">
        <v>489</v>
      </c>
      <c r="I160" t="s" s="0">
        <v>181</v>
      </c>
      <c r="J160" t="n" s="2">
        <v>3.85</v>
      </c>
      <c r="K160" t="n" s="2">
        <v>3.2</v>
      </c>
      <c r="L160" t="n" s="2">
        <v>0.65</v>
      </c>
      <c r="M160" s="3">
        <f>IFERROR(K160/J160,0)</f>
      </c>
      <c r="N160" t="s">
        <v>179</v>
      </c>
      <c r="O160" t="s">
        <v>93</v>
      </c>
      <c r="P160" t="s">
        <v>802</v>
      </c>
      <c r="Q160" t="s">
        <v>802</v>
      </c>
      <c r="R160" t="s">
        <v>803</v>
      </c>
      <c r="S160" t="s">
        <v>88</v>
      </c>
      <c r="U160" t="s">
        <v>39</v>
      </c>
      <c r="V160" t="s">
        <v>39</v>
      </c>
      <c r="W160" t="s">
        <v>39</v>
      </c>
    </row>
    <row r="161">
      <c r="A161" t="s" s="0">
        <v>804</v>
      </c>
      <c r="B161" t="s" s="0">
        <v>24</v>
      </c>
      <c r="C161" t="s" s="0">
        <v>659</v>
      </c>
      <c r="D161" t="s" s="0">
        <v>805</v>
      </c>
      <c r="E161" t="s" s="0">
        <v>806</v>
      </c>
      <c r="F161" t="s" s="0">
        <v>807</v>
      </c>
      <c r="G161" t="s" s="0">
        <v>46</v>
      </c>
      <c r="H161" t="s" s="0">
        <v>162</v>
      </c>
      <c r="I161" t="s" s="0">
        <v>31</v>
      </c>
      <c r="J161" t="n" s="2">
        <v>3.95</v>
      </c>
      <c r="K161" t="n" s="2">
        <v>2.6</v>
      </c>
      <c r="L161" t="n" s="2">
        <v>1.35</v>
      </c>
      <c r="M161" s="3">
        <f>IFERROR(K161/J161,0)</f>
      </c>
      <c r="N161" t="s">
        <v>304</v>
      </c>
      <c r="O161" t="s">
        <v>88</v>
      </c>
      <c r="P161" t="s">
        <v>808</v>
      </c>
      <c r="Q161" t="s">
        <v>809</v>
      </c>
      <c r="R161" t="s">
        <v>810</v>
      </c>
      <c r="S161" t="s">
        <v>42</v>
      </c>
      <c r="T161" t="n" s="2">
        <v>4.82</v>
      </c>
      <c r="U161" t="s">
        <v>811</v>
      </c>
      <c r="V161" t="s">
        <v>812</v>
      </c>
      <c r="W161" t="n" s="2">
        <v>0.87</v>
      </c>
    </row>
    <row r="162">
      <c r="A162" t="s" s="0">
        <v>804</v>
      </c>
      <c r="B162" t="s" s="0">
        <v>24</v>
      </c>
      <c r="C162" t="s" s="0">
        <v>659</v>
      </c>
      <c r="D162" t="s" s="0">
        <v>805</v>
      </c>
      <c r="E162" t="s" s="0">
        <v>806</v>
      </c>
      <c r="F162" t="s" s="0">
        <v>807</v>
      </c>
      <c r="G162" t="s" s="0">
        <v>46</v>
      </c>
      <c r="H162" t="s" s="0">
        <v>259</v>
      </c>
      <c r="I162" t="s" s="0">
        <v>31</v>
      </c>
      <c r="J162" t="n" s="2">
        <v>3.6</v>
      </c>
      <c r="K162" t="n" s="2">
        <v>2.7</v>
      </c>
      <c r="L162" t="n" s="2">
        <v>0.9</v>
      </c>
      <c r="M162" s="3">
        <f>IFERROR(K162/J162,0)</f>
      </c>
      <c r="N162" t="s">
        <v>304</v>
      </c>
      <c r="O162" t="s">
        <v>88</v>
      </c>
      <c r="P162" t="s">
        <v>813</v>
      </c>
      <c r="Q162" t="s">
        <v>814</v>
      </c>
      <c r="R162" t="s">
        <v>815</v>
      </c>
      <c r="S162" t="s">
        <v>35</v>
      </c>
      <c r="T162" t="n" s="2">
        <v>4.82</v>
      </c>
      <c r="U162" t="s">
        <v>816</v>
      </c>
      <c r="V162" t="s">
        <v>817</v>
      </c>
      <c r="W162" t="n" s="2">
        <v>1.22</v>
      </c>
    </row>
    <row r="163">
      <c r="A163" t="s" s="0">
        <v>804</v>
      </c>
      <c r="B163" t="s" s="0">
        <v>24</v>
      </c>
      <c r="C163" t="s" s="0">
        <v>659</v>
      </c>
      <c r="D163" t="s" s="0">
        <v>805</v>
      </c>
      <c r="E163" t="s" s="0">
        <v>806</v>
      </c>
      <c r="F163" t="s" s="0">
        <v>807</v>
      </c>
      <c r="G163" t="s" s="0">
        <v>818</v>
      </c>
      <c r="H163" t="s" s="0">
        <v>489</v>
      </c>
      <c r="I163" t="s" s="0">
        <v>181</v>
      </c>
      <c r="J163" t="n" s="2">
        <v>4.7</v>
      </c>
      <c r="K163" t="n" s="2">
        <v>3.8</v>
      </c>
      <c r="L163" t="n" s="2">
        <v>0.9</v>
      </c>
      <c r="M163" s="3">
        <f>IFERROR(K163/J163,0)</f>
      </c>
      <c r="N163" t="s">
        <v>304</v>
      </c>
      <c r="O163" t="s">
        <v>88</v>
      </c>
      <c r="P163" t="s">
        <v>819</v>
      </c>
      <c r="Q163" t="s">
        <v>820</v>
      </c>
      <c r="R163" t="s">
        <v>821</v>
      </c>
      <c r="S163" t="s">
        <v>88</v>
      </c>
      <c r="U163" t="s">
        <v>39</v>
      </c>
      <c r="V163" t="s">
        <v>39</v>
      </c>
      <c r="W163" t="s">
        <v>39</v>
      </c>
    </row>
    <row r="164">
      <c r="A164" t="s" s="0">
        <v>804</v>
      </c>
      <c r="B164" t="s" s="0">
        <v>24</v>
      </c>
      <c r="C164" t="s" s="0">
        <v>659</v>
      </c>
      <c r="D164" t="s" s="0">
        <v>805</v>
      </c>
      <c r="E164" t="s" s="0">
        <v>806</v>
      </c>
      <c r="F164" t="s" s="0">
        <v>807</v>
      </c>
      <c r="G164" t="s" s="0">
        <v>798</v>
      </c>
      <c r="H164" t="s" s="0">
        <v>822</v>
      </c>
      <c r="I164" t="s" s="0">
        <v>181</v>
      </c>
      <c r="J164" t="n" s="2">
        <v>5.2</v>
      </c>
      <c r="K164" t="n" s="2">
        <v>3.9</v>
      </c>
      <c r="L164" t="n" s="2">
        <v>1.3</v>
      </c>
      <c r="M164" s="3">
        <f>IFERROR(K164/J164,0)</f>
      </c>
      <c r="N164" t="s">
        <v>304</v>
      </c>
      <c r="O164" t="s">
        <v>88</v>
      </c>
      <c r="P164" t="s">
        <v>823</v>
      </c>
      <c r="Q164" t="s">
        <v>824</v>
      </c>
      <c r="R164" t="s">
        <v>825</v>
      </c>
      <c r="S164" t="s">
        <v>93</v>
      </c>
      <c r="U164" t="s">
        <v>39</v>
      </c>
      <c r="V164" t="s">
        <v>39</v>
      </c>
      <c r="W164" t="s">
        <v>39</v>
      </c>
    </row>
    <row r="165">
      <c r="A165" t="s" s="0">
        <v>804</v>
      </c>
      <c r="B165" t="s" s="0">
        <v>24</v>
      </c>
      <c r="C165" t="s" s="0">
        <v>659</v>
      </c>
      <c r="D165" t="s" s="0">
        <v>805</v>
      </c>
      <c r="E165" t="s" s="0">
        <v>806</v>
      </c>
      <c r="F165" t="s" s="0">
        <v>807</v>
      </c>
      <c r="G165" t="s" s="0">
        <v>488</v>
      </c>
      <c r="H165" t="s" s="0">
        <v>826</v>
      </c>
      <c r="I165" t="s" s="0">
        <v>181</v>
      </c>
      <c r="J165" t="n" s="2">
        <v>4.8</v>
      </c>
      <c r="K165" t="s">
        <v>33</v>
      </c>
      <c r="L165" t="s">
        <v>33</v>
      </c>
      <c r="M165" s="3">
        <f>IFERROR(K165/J165,0)</f>
      </c>
      <c r="N165" t="s">
        <v>304</v>
      </c>
      <c r="O165" t="s">
        <v>88</v>
      </c>
      <c r="P165" t="s">
        <v>827</v>
      </c>
      <c r="Q165" t="s">
        <v>33</v>
      </c>
      <c r="R165" t="s">
        <v>828</v>
      </c>
      <c r="S165" t="s">
        <v>95</v>
      </c>
      <c r="U165" t="s">
        <v>39</v>
      </c>
      <c r="V165" t="s">
        <v>39</v>
      </c>
      <c r="W165" t="s">
        <v>39</v>
      </c>
    </row>
    <row r="166">
      <c r="A166" t="s" s="0">
        <v>829</v>
      </c>
      <c r="B166" t="s" s="0">
        <v>24</v>
      </c>
      <c r="C166" t="s" s="0">
        <v>659</v>
      </c>
      <c r="D166" t="s" s="0">
        <v>830</v>
      </c>
      <c r="E166" t="s" s="0">
        <v>806</v>
      </c>
      <c r="F166" t="s" s="0">
        <v>831</v>
      </c>
      <c r="G166" t="s" s="0">
        <v>195</v>
      </c>
      <c r="H166" t="s" s="0">
        <v>30</v>
      </c>
      <c r="I166" t="s" s="0">
        <v>31</v>
      </c>
      <c r="J166" t="n" s="2">
        <v>2.7</v>
      </c>
      <c r="K166" t="n" s="2">
        <v>2.0</v>
      </c>
      <c r="L166" t="n" s="2">
        <v>0.7</v>
      </c>
      <c r="M166" s="3">
        <f>IFERROR(K166/J166,0)</f>
      </c>
      <c r="N166" t="s">
        <v>651</v>
      </c>
      <c r="O166" t="s">
        <v>607</v>
      </c>
      <c r="P166" t="s">
        <v>832</v>
      </c>
      <c r="Q166" t="s">
        <v>833</v>
      </c>
      <c r="R166" t="s">
        <v>834</v>
      </c>
      <c r="S166" t="s">
        <v>32</v>
      </c>
      <c r="T166" t="n" s="2">
        <v>3.55</v>
      </c>
      <c r="U166" t="s">
        <v>835</v>
      </c>
      <c r="V166" t="s">
        <v>836</v>
      </c>
      <c r="W166" t="n" s="2">
        <v>0.85</v>
      </c>
    </row>
    <row r="167">
      <c r="A167" t="s" s="0">
        <v>829</v>
      </c>
      <c r="B167" t="s" s="0">
        <v>24</v>
      </c>
      <c r="C167" t="s" s="0">
        <v>659</v>
      </c>
      <c r="D167" t="s" s="0">
        <v>830</v>
      </c>
      <c r="E167" t="s" s="0">
        <v>806</v>
      </c>
      <c r="F167" t="s" s="0">
        <v>831</v>
      </c>
      <c r="G167" t="s" s="0">
        <v>46</v>
      </c>
      <c r="H167" t="s" s="0">
        <v>162</v>
      </c>
      <c r="I167" t="s" s="0">
        <v>31</v>
      </c>
      <c r="J167" t="n" s="2">
        <v>3.4</v>
      </c>
      <c r="K167" t="n" s="2">
        <v>3.5</v>
      </c>
      <c r="L167" t="n" s="2">
        <v>-0.1</v>
      </c>
      <c r="M167" s="3">
        <f>IFERROR(K167/J167,0)</f>
      </c>
      <c r="N167" t="s">
        <v>651</v>
      </c>
      <c r="O167" t="s">
        <v>607</v>
      </c>
      <c r="P167" t="s">
        <v>837</v>
      </c>
      <c r="Q167" t="s">
        <v>838</v>
      </c>
      <c r="R167" t="s">
        <v>839</v>
      </c>
      <c r="S167" t="s">
        <v>42</v>
      </c>
      <c r="T167" t="n" s="2">
        <v>4.99</v>
      </c>
      <c r="U167" t="s">
        <v>840</v>
      </c>
      <c r="V167" t="s">
        <v>841</v>
      </c>
      <c r="W167" t="n" s="2">
        <v>1.59</v>
      </c>
    </row>
    <row r="168">
      <c r="A168" t="s" s="0">
        <v>829</v>
      </c>
      <c r="B168" t="s" s="0">
        <v>24</v>
      </c>
      <c r="C168" t="s" s="0">
        <v>659</v>
      </c>
      <c r="D168" t="s" s="0">
        <v>830</v>
      </c>
      <c r="E168" t="s" s="0">
        <v>806</v>
      </c>
      <c r="F168" t="s" s="0">
        <v>831</v>
      </c>
      <c r="G168" t="s" s="0">
        <v>46</v>
      </c>
      <c r="H168" t="s" s="0">
        <v>259</v>
      </c>
      <c r="I168" t="s" s="0">
        <v>31</v>
      </c>
      <c r="J168" t="n" s="2">
        <v>3.7</v>
      </c>
      <c r="K168" t="n" s="2">
        <v>3.0</v>
      </c>
      <c r="L168" t="n" s="2">
        <v>0.7</v>
      </c>
      <c r="M168" s="3">
        <f>IFERROR(K168/J168,0)</f>
      </c>
      <c r="N168" t="s">
        <v>651</v>
      </c>
      <c r="O168" t="s">
        <v>607</v>
      </c>
      <c r="P168" t="s">
        <v>842</v>
      </c>
      <c r="Q168" t="s">
        <v>843</v>
      </c>
      <c r="R168" t="s">
        <v>844</v>
      </c>
      <c r="S168" t="s">
        <v>35</v>
      </c>
      <c r="T168" t="n" s="2">
        <v>4.99</v>
      </c>
      <c r="U168" t="s">
        <v>657</v>
      </c>
      <c r="V168" t="s">
        <v>845</v>
      </c>
      <c r="W168" t="n" s="2">
        <v>1.29</v>
      </c>
    </row>
    <row r="169">
      <c r="A169" t="s" s="0">
        <v>829</v>
      </c>
      <c r="B169" t="s" s="0">
        <v>24</v>
      </c>
      <c r="C169" t="s" s="0">
        <v>659</v>
      </c>
      <c r="D169" t="s" s="0">
        <v>830</v>
      </c>
      <c r="E169" t="s" s="0">
        <v>806</v>
      </c>
      <c r="F169" t="s" s="0">
        <v>831</v>
      </c>
      <c r="G169" t="s" s="0">
        <v>46</v>
      </c>
      <c r="H169" t="s" s="0">
        <v>417</v>
      </c>
      <c r="I169" t="s" s="0">
        <v>31</v>
      </c>
      <c r="J169" t="n" s="2">
        <v>3.7</v>
      </c>
      <c r="K169" t="n" s="2">
        <v>2.7</v>
      </c>
      <c r="L169" t="n" s="2">
        <v>1.0</v>
      </c>
      <c r="M169" s="3">
        <f>IFERROR(K169/J169,0)</f>
      </c>
      <c r="N169" t="s">
        <v>651</v>
      </c>
      <c r="O169" t="s">
        <v>607</v>
      </c>
      <c r="P169" t="s">
        <v>846</v>
      </c>
      <c r="Q169" t="s">
        <v>847</v>
      </c>
      <c r="R169" t="s">
        <v>848</v>
      </c>
      <c r="S169" t="s">
        <v>83</v>
      </c>
      <c r="T169" t="n" s="2">
        <v>4.99</v>
      </c>
      <c r="U169" t="s">
        <v>657</v>
      </c>
      <c r="V169" t="s">
        <v>849</v>
      </c>
      <c r="W169" t="n" s="2">
        <v>1.29</v>
      </c>
    </row>
    <row r="170">
      <c r="A170" t="s" s="0">
        <v>850</v>
      </c>
      <c r="B170" t="s" s="0">
        <v>24</v>
      </c>
      <c r="C170" t="s" s="0">
        <v>659</v>
      </c>
      <c r="D170" t="s" s="0">
        <v>851</v>
      </c>
      <c r="E170" t="s" s="0">
        <v>577</v>
      </c>
      <c r="F170" t="s" s="0">
        <v>773</v>
      </c>
      <c r="G170" t="s" s="0">
        <v>46</v>
      </c>
      <c r="H170" t="s" s="0">
        <v>128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376</v>
      </c>
      <c r="O170" t="s">
        <v>59</v>
      </c>
      <c r="P170" t="s">
        <v>852</v>
      </c>
      <c r="Q170" t="s">
        <v>33</v>
      </c>
      <c r="R170" t="s">
        <v>853</v>
      </c>
      <c r="S170" t="s">
        <v>32</v>
      </c>
      <c r="T170" t="n" s="2">
        <v>1.95</v>
      </c>
      <c r="U170" t="s">
        <v>535</v>
      </c>
      <c r="V170" t="s">
        <v>39</v>
      </c>
      <c r="W170" t="n" s="2">
        <v>0.45</v>
      </c>
    </row>
    <row r="171">
      <c r="A171" t="s" s="0">
        <v>850</v>
      </c>
      <c r="B171" t="s" s="0">
        <v>24</v>
      </c>
      <c r="C171" t="s" s="0">
        <v>659</v>
      </c>
      <c r="D171" t="s" s="0">
        <v>851</v>
      </c>
      <c r="E171" t="s" s="0">
        <v>577</v>
      </c>
      <c r="F171" t="s" s="0">
        <v>773</v>
      </c>
      <c r="G171" t="s" s="0">
        <v>570</v>
      </c>
      <c r="H171" t="s" s="0">
        <v>854</v>
      </c>
      <c r="I171" t="s" s="0">
        <v>31</v>
      </c>
      <c r="J171" t="n" s="2">
        <v>2.1</v>
      </c>
      <c r="K171" t="s">
        <v>33</v>
      </c>
      <c r="L171" t="s">
        <v>33</v>
      </c>
      <c r="M171" s="3">
        <f>IFERROR(K171/J171,0)</f>
      </c>
      <c r="N171" t="s">
        <v>376</v>
      </c>
      <c r="O171" t="s">
        <v>59</v>
      </c>
      <c r="P171" t="s">
        <v>855</v>
      </c>
      <c r="Q171" t="s">
        <v>33</v>
      </c>
      <c r="R171" t="s">
        <v>856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857</v>
      </c>
      <c r="B172" t="s" s="0">
        <v>24</v>
      </c>
      <c r="C172" t="s" s="0">
        <v>659</v>
      </c>
      <c r="D172" t="s" s="0">
        <v>858</v>
      </c>
      <c r="E172" t="s" s="0">
        <v>859</v>
      </c>
      <c r="F172" t="s" s="0">
        <v>860</v>
      </c>
      <c r="G172" t="s" s="0">
        <v>66</v>
      </c>
      <c r="H172" t="s" s="0">
        <v>208</v>
      </c>
      <c r="I172" t="s" s="0">
        <v>198</v>
      </c>
      <c r="J172" t="n" s="2">
        <v>1.32</v>
      </c>
      <c r="K172" t="s">
        <v>33</v>
      </c>
      <c r="L172" t="s">
        <v>33</v>
      </c>
      <c r="M172" s="3">
        <f>IFERROR(K172/J172,0)</f>
      </c>
      <c r="N172" t="s">
        <v>476</v>
      </c>
      <c r="O172" t="s">
        <v>32</v>
      </c>
      <c r="P172" t="s">
        <v>861</v>
      </c>
      <c r="Q172" t="s">
        <v>33</v>
      </c>
      <c r="R172" t="s">
        <v>862</v>
      </c>
      <c r="S172" t="s">
        <v>32</v>
      </c>
      <c r="T172" t="n" s="2">
        <v>1.64</v>
      </c>
      <c r="U172" t="s">
        <v>863</v>
      </c>
      <c r="V172" t="s">
        <v>39</v>
      </c>
      <c r="W172" t="n" s="2">
        <v>0.32</v>
      </c>
    </row>
    <row r="173">
      <c r="A173" t="s" s="0">
        <v>857</v>
      </c>
      <c r="B173" t="s" s="0">
        <v>24</v>
      </c>
      <c r="C173" t="s" s="0">
        <v>659</v>
      </c>
      <c r="D173" t="s" s="0">
        <v>858</v>
      </c>
      <c r="E173" t="s" s="0">
        <v>859</v>
      </c>
      <c r="F173" t="s" s="0">
        <v>860</v>
      </c>
      <c r="G173" t="s" s="0">
        <v>46</v>
      </c>
      <c r="H173" t="s" s="0">
        <v>864</v>
      </c>
      <c r="I173" t="s" s="0">
        <v>31</v>
      </c>
      <c r="J173" t="n" s="2">
        <v>1.82</v>
      </c>
      <c r="K173" t="s">
        <v>33</v>
      </c>
      <c r="L173" t="s">
        <v>33</v>
      </c>
      <c r="M173" s="3">
        <f>IFERROR(K173/J173,0)</f>
      </c>
      <c r="N173" t="s">
        <v>476</v>
      </c>
      <c r="O173" t="s">
        <v>32</v>
      </c>
      <c r="P173" t="s">
        <v>865</v>
      </c>
      <c r="Q173" t="s">
        <v>33</v>
      </c>
      <c r="R173" t="s">
        <v>866</v>
      </c>
      <c r="S173" t="s">
        <v>42</v>
      </c>
      <c r="T173" t="n" s="2">
        <v>2.15</v>
      </c>
      <c r="U173" t="s">
        <v>867</v>
      </c>
      <c r="V173" t="s">
        <v>39</v>
      </c>
      <c r="W173" t="n" s="2">
        <v>0.33</v>
      </c>
    </row>
    <row r="174">
      <c r="A174" t="s" s="0">
        <v>857</v>
      </c>
      <c r="B174" t="s" s="0">
        <v>24</v>
      </c>
      <c r="C174" t="s" s="0">
        <v>659</v>
      </c>
      <c r="D174" t="s" s="0">
        <v>858</v>
      </c>
      <c r="E174" t="s" s="0">
        <v>859</v>
      </c>
      <c r="F174" t="s" s="0">
        <v>860</v>
      </c>
      <c r="G174" t="s" s="0">
        <v>421</v>
      </c>
      <c r="H174" t="s" s="0">
        <v>422</v>
      </c>
      <c r="I174" t="s" s="0">
        <v>181</v>
      </c>
      <c r="J174" t="n" s="2">
        <v>2.9</v>
      </c>
      <c r="K174" t="s">
        <v>33</v>
      </c>
      <c r="L174" t="s">
        <v>33</v>
      </c>
      <c r="M174" s="3">
        <f>IFERROR(K174/J174,0)</f>
      </c>
      <c r="N174" t="s">
        <v>476</v>
      </c>
      <c r="O174" t="s">
        <v>32</v>
      </c>
      <c r="P174" t="s">
        <v>868</v>
      </c>
      <c r="Q174" t="s">
        <v>33</v>
      </c>
      <c r="R174" t="s">
        <v>869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870</v>
      </c>
      <c r="B175" t="s" s="0">
        <v>24</v>
      </c>
      <c r="C175" t="s" s="0">
        <v>659</v>
      </c>
      <c r="D175" t="s" s="0">
        <v>871</v>
      </c>
      <c r="E175" t="s" s="0">
        <v>872</v>
      </c>
      <c r="F175" t="s" s="0">
        <v>475</v>
      </c>
      <c r="G175" t="s" s="0">
        <v>66</v>
      </c>
      <c r="H175" t="s" s="0">
        <v>445</v>
      </c>
      <c r="I175" t="s" s="0">
        <v>198</v>
      </c>
      <c r="J175" t="n" s="2">
        <v>1.52</v>
      </c>
      <c r="K175" t="s">
        <v>33</v>
      </c>
      <c r="L175" t="s">
        <v>33</v>
      </c>
      <c r="M175" s="3">
        <f>IFERROR(K175/J175,0)</f>
      </c>
      <c r="N175" t="s">
        <v>114</v>
      </c>
      <c r="O175" t="s">
        <v>59</v>
      </c>
      <c r="P175" t="s">
        <v>873</v>
      </c>
      <c r="Q175" t="s">
        <v>33</v>
      </c>
      <c r="R175" t="s">
        <v>874</v>
      </c>
      <c r="S175" t="s">
        <v>32</v>
      </c>
      <c r="T175" t="n" s="2">
        <v>1.64</v>
      </c>
      <c r="U175" t="s">
        <v>875</v>
      </c>
      <c r="V175" t="s">
        <v>39</v>
      </c>
      <c r="W175" t="n" s="2">
        <v>0.12</v>
      </c>
    </row>
    <row r="176">
      <c r="A176" t="s" s="0">
        <v>870</v>
      </c>
      <c r="B176" t="s" s="0">
        <v>24</v>
      </c>
      <c r="C176" t="s" s="0">
        <v>659</v>
      </c>
      <c r="D176" t="s" s="0">
        <v>871</v>
      </c>
      <c r="E176" t="s" s="0">
        <v>872</v>
      </c>
      <c r="F176" t="s" s="0">
        <v>475</v>
      </c>
      <c r="G176" t="s" s="0">
        <v>46</v>
      </c>
      <c r="H176" t="s" s="0">
        <v>311</v>
      </c>
      <c r="I176" t="s" s="0">
        <v>31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114</v>
      </c>
      <c r="O176" t="s">
        <v>59</v>
      </c>
      <c r="P176" t="s">
        <v>876</v>
      </c>
      <c r="Q176" t="s">
        <v>33</v>
      </c>
      <c r="R176" t="s">
        <v>877</v>
      </c>
      <c r="S176" t="s">
        <v>42</v>
      </c>
      <c r="T176" t="n" s="2">
        <v>2.2</v>
      </c>
      <c r="U176" t="s">
        <v>878</v>
      </c>
      <c r="V176" t="s">
        <v>39</v>
      </c>
      <c r="W176" t="n" s="2">
        <v>0.4</v>
      </c>
    </row>
    <row r="177">
      <c r="A177" t="s" s="0">
        <v>870</v>
      </c>
      <c r="B177" t="s" s="0">
        <v>24</v>
      </c>
      <c r="C177" t="s" s="0">
        <v>659</v>
      </c>
      <c r="D177" t="s" s="0">
        <v>871</v>
      </c>
      <c r="E177" t="s" s="0">
        <v>872</v>
      </c>
      <c r="F177" t="s" s="0">
        <v>475</v>
      </c>
      <c r="G177" t="s" s="0">
        <v>879</v>
      </c>
      <c r="H177" t="s" s="0">
        <v>880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114</v>
      </c>
      <c r="O177" t="s">
        <v>59</v>
      </c>
      <c r="P177" t="s">
        <v>881</v>
      </c>
      <c r="Q177" t="s">
        <v>33</v>
      </c>
      <c r="R177" t="s">
        <v>882</v>
      </c>
      <c r="S177" t="s">
        <v>35</v>
      </c>
      <c r="U177" t="s">
        <v>39</v>
      </c>
      <c r="V177" t="s">
        <v>39</v>
      </c>
      <c r="W177" t="s">
        <v>39</v>
      </c>
    </row>
    <row r="178">
      <c r="A178" t="s" s="0">
        <v>870</v>
      </c>
      <c r="B178" t="s" s="0">
        <v>24</v>
      </c>
      <c r="C178" t="s" s="0">
        <v>659</v>
      </c>
      <c r="D178" t="s" s="0">
        <v>871</v>
      </c>
      <c r="E178" t="s" s="0">
        <v>872</v>
      </c>
      <c r="F178" t="s" s="0">
        <v>475</v>
      </c>
      <c r="G178" t="s" s="0">
        <v>418</v>
      </c>
      <c r="H178" t="s" s="0">
        <v>744</v>
      </c>
      <c r="I178" t="s" s="0">
        <v>181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114</v>
      </c>
      <c r="O178" t="s">
        <v>59</v>
      </c>
      <c r="P178" t="s">
        <v>419</v>
      </c>
      <c r="Q178" t="s">
        <v>33</v>
      </c>
      <c r="R178" t="s">
        <v>883</v>
      </c>
      <c r="S178" t="s">
        <v>83</v>
      </c>
      <c r="U178" t="s">
        <v>39</v>
      </c>
      <c r="V178" t="s">
        <v>39</v>
      </c>
      <c r="W178" t="s">
        <v>39</v>
      </c>
    </row>
    <row r="179">
      <c r="A179" t="s" s="0">
        <v>884</v>
      </c>
      <c r="B179" t="s" s="0">
        <v>24</v>
      </c>
      <c r="C179" t="s" s="0">
        <v>885</v>
      </c>
      <c r="D179" t="s" s="0">
        <v>886</v>
      </c>
      <c r="E179" t="s" s="0">
        <v>887</v>
      </c>
      <c r="F179" t="s" s="0">
        <v>888</v>
      </c>
      <c r="G179" t="s" s="0">
        <v>46</v>
      </c>
      <c r="H179" t="s" s="0">
        <v>517</v>
      </c>
      <c r="I179" t="s" s="0">
        <v>31</v>
      </c>
      <c r="J179" t="n" s="2">
        <v>2.2</v>
      </c>
      <c r="K179" t="s">
        <v>33</v>
      </c>
      <c r="L179" t="s">
        <v>33</v>
      </c>
      <c r="M179" s="3">
        <f>IFERROR(K179/J179,0)</f>
      </c>
      <c r="N179" t="s">
        <v>317</v>
      </c>
      <c r="O179" t="s">
        <v>32</v>
      </c>
      <c r="P179" t="s">
        <v>889</v>
      </c>
      <c r="Q179" t="s">
        <v>33</v>
      </c>
      <c r="R179" t="s">
        <v>890</v>
      </c>
      <c r="S179" t="s">
        <v>32</v>
      </c>
      <c r="T179" t="n" s="2">
        <v>3.28</v>
      </c>
      <c r="U179" t="s">
        <v>891</v>
      </c>
      <c r="V179" t="s">
        <v>39</v>
      </c>
      <c r="W179" t="n" s="2">
        <v>1.08</v>
      </c>
    </row>
    <row r="180">
      <c r="A180" t="s" s="0">
        <v>884</v>
      </c>
      <c r="B180" t="s" s="0">
        <v>24</v>
      </c>
      <c r="C180" t="s" s="0">
        <v>885</v>
      </c>
      <c r="D180" t="s" s="0">
        <v>886</v>
      </c>
      <c r="E180" t="s" s="0">
        <v>887</v>
      </c>
      <c r="F180" t="s" s="0">
        <v>888</v>
      </c>
      <c r="G180" t="s" s="0">
        <v>892</v>
      </c>
      <c r="H180" t="s" s="0">
        <v>893</v>
      </c>
      <c r="I180" t="s" s="0">
        <v>31</v>
      </c>
      <c r="J180" t="n" s="2">
        <v>2.95</v>
      </c>
      <c r="K180" t="s">
        <v>33</v>
      </c>
      <c r="L180" t="s">
        <v>33</v>
      </c>
      <c r="M180" s="3">
        <f>IFERROR(K180/J180,0)</f>
      </c>
      <c r="N180" t="s">
        <v>317</v>
      </c>
      <c r="O180" t="s">
        <v>32</v>
      </c>
      <c r="P180" t="s">
        <v>894</v>
      </c>
      <c r="Q180" t="s">
        <v>33</v>
      </c>
      <c r="R180" t="s">
        <v>895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884</v>
      </c>
      <c r="B181" t="s" s="0">
        <v>24</v>
      </c>
      <c r="C181" t="s" s="0">
        <v>885</v>
      </c>
      <c r="D181" t="s" s="0">
        <v>886</v>
      </c>
      <c r="E181" t="s" s="0">
        <v>887</v>
      </c>
      <c r="F181" t="s" s="0">
        <v>888</v>
      </c>
      <c r="G181" t="s" s="0">
        <v>896</v>
      </c>
      <c r="H181" t="s" s="0">
        <v>880</v>
      </c>
      <c r="I181" t="s" s="0">
        <v>181</v>
      </c>
      <c r="J181" t="n" s="2">
        <v>3.4</v>
      </c>
      <c r="K181" t="s">
        <v>33</v>
      </c>
      <c r="L181" t="s">
        <v>33</v>
      </c>
      <c r="M181" s="3">
        <f>IFERROR(K181/J181,0)</f>
      </c>
      <c r="N181" t="s">
        <v>317</v>
      </c>
      <c r="O181" t="s">
        <v>32</v>
      </c>
      <c r="P181" t="s">
        <v>897</v>
      </c>
      <c r="Q181" t="s">
        <v>33</v>
      </c>
      <c r="R181" t="s">
        <v>898</v>
      </c>
      <c r="S181" t="s">
        <v>35</v>
      </c>
      <c r="U181" t="s">
        <v>39</v>
      </c>
      <c r="V181" t="s">
        <v>39</v>
      </c>
      <c r="W181" t="s">
        <v>39</v>
      </c>
    </row>
    <row r="182">
      <c r="A182" t="s" s="0">
        <v>899</v>
      </c>
      <c r="B182" t="s" s="0">
        <v>24</v>
      </c>
      <c r="C182" t="s" s="0">
        <v>885</v>
      </c>
      <c r="D182" t="s" s="0">
        <v>900</v>
      </c>
      <c r="E182" t="s" s="0">
        <v>872</v>
      </c>
      <c r="F182" t="s" s="0">
        <v>901</v>
      </c>
      <c r="G182" t="s" s="0">
        <v>66</v>
      </c>
      <c r="H182" t="s" s="0">
        <v>790</v>
      </c>
      <c r="I182" t="s" s="0">
        <v>198</v>
      </c>
      <c r="J182" t="n" s="2">
        <v>1.52</v>
      </c>
      <c r="K182" t="s">
        <v>33</v>
      </c>
      <c r="L182" t="s">
        <v>33</v>
      </c>
      <c r="M182" s="3">
        <f>IFERROR(K182/J182,0)</f>
      </c>
      <c r="N182" t="s">
        <v>902</v>
      </c>
      <c r="O182" t="s">
        <v>59</v>
      </c>
      <c r="P182" t="s">
        <v>903</v>
      </c>
      <c r="Q182" t="s">
        <v>33</v>
      </c>
      <c r="R182" t="s">
        <v>904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899</v>
      </c>
      <c r="B183" t="s" s="0">
        <v>24</v>
      </c>
      <c r="C183" t="s" s="0">
        <v>885</v>
      </c>
      <c r="D183" t="s" s="0">
        <v>900</v>
      </c>
      <c r="E183" t="s" s="0">
        <v>872</v>
      </c>
      <c r="F183" t="s" s="0">
        <v>901</v>
      </c>
      <c r="G183" t="s" s="0">
        <v>46</v>
      </c>
      <c r="H183" t="s" s="0">
        <v>517</v>
      </c>
      <c r="I183" t="s" s="0">
        <v>31</v>
      </c>
      <c r="J183" t="n" s="2">
        <v>1.88</v>
      </c>
      <c r="K183" t="s">
        <v>33</v>
      </c>
      <c r="L183" t="s">
        <v>33</v>
      </c>
      <c r="M183" s="3">
        <f>IFERROR(K183/J183,0)</f>
      </c>
      <c r="N183" t="s">
        <v>902</v>
      </c>
      <c r="O183" t="s">
        <v>59</v>
      </c>
      <c r="P183" t="s">
        <v>905</v>
      </c>
      <c r="Q183" t="s">
        <v>33</v>
      </c>
      <c r="R183" t="s">
        <v>33</v>
      </c>
      <c r="S183" t="s">
        <v>42</v>
      </c>
      <c r="T183" t="n" s="2">
        <v>2.3</v>
      </c>
      <c r="U183" t="s">
        <v>906</v>
      </c>
      <c r="V183" t="s">
        <v>39</v>
      </c>
      <c r="W183" t="n" s="2">
        <v>0.42</v>
      </c>
    </row>
    <row r="184">
      <c r="A184" t="s" s="0">
        <v>907</v>
      </c>
      <c r="B184" t="s" s="0">
        <v>24</v>
      </c>
      <c r="C184" t="s" s="0">
        <v>885</v>
      </c>
      <c r="D184" t="s" s="0">
        <v>908</v>
      </c>
      <c r="E184" t="s" s="0">
        <v>388</v>
      </c>
      <c r="F184" t="s" s="0">
        <v>909</v>
      </c>
      <c r="G184" t="s" s="0">
        <v>46</v>
      </c>
      <c r="H184" t="s" s="0">
        <v>179</v>
      </c>
      <c r="I184" t="s" s="0">
        <v>31</v>
      </c>
      <c r="J184" t="n" s="2">
        <v>1.65</v>
      </c>
      <c r="K184" t="n" s="2">
        <v>1.57</v>
      </c>
      <c r="L184" t="n" s="2">
        <v>0.08</v>
      </c>
      <c r="M184" s="3">
        <f>IFERROR(K184/J184,0)</f>
      </c>
      <c r="N184" t="s">
        <v>910</v>
      </c>
      <c r="O184" t="s">
        <v>32</v>
      </c>
      <c r="P184" t="s">
        <v>881</v>
      </c>
      <c r="Q184" t="s">
        <v>393</v>
      </c>
      <c r="R184" t="s">
        <v>911</v>
      </c>
      <c r="S184" t="s">
        <v>32</v>
      </c>
      <c r="T184" t="n" s="2">
        <v>2.27</v>
      </c>
      <c r="U184" t="s">
        <v>632</v>
      </c>
      <c r="V184" t="s">
        <v>912</v>
      </c>
      <c r="W184" t="n" s="2">
        <v>0.62</v>
      </c>
    </row>
    <row r="185">
      <c r="A185" t="s" s="0">
        <v>907</v>
      </c>
      <c r="B185" t="s" s="0">
        <v>24</v>
      </c>
      <c r="C185" t="s" s="0">
        <v>885</v>
      </c>
      <c r="D185" t="s" s="0">
        <v>908</v>
      </c>
      <c r="E185" t="s" s="0">
        <v>388</v>
      </c>
      <c r="F185" t="s" s="0">
        <v>909</v>
      </c>
      <c r="G185" t="s" s="0">
        <v>622</v>
      </c>
      <c r="H185" t="s" s="0">
        <v>913</v>
      </c>
      <c r="I185" t="s" s="0">
        <v>181</v>
      </c>
      <c r="J185" t="n" s="2">
        <v>2.3</v>
      </c>
      <c r="K185" t="s">
        <v>33</v>
      </c>
      <c r="L185" t="s">
        <v>33</v>
      </c>
      <c r="M185" s="3">
        <f>IFERROR(K185/J185,0)</f>
      </c>
      <c r="N185" t="s">
        <v>910</v>
      </c>
      <c r="O185" t="s">
        <v>32</v>
      </c>
      <c r="P185" t="s">
        <v>914</v>
      </c>
      <c r="Q185" t="s">
        <v>33</v>
      </c>
      <c r="R185" t="s">
        <v>33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915</v>
      </c>
      <c r="B186" t="s" s="0">
        <v>24</v>
      </c>
      <c r="C186" t="s" s="0">
        <v>916</v>
      </c>
      <c r="D186" t="s" s="0">
        <v>917</v>
      </c>
      <c r="E186" t="s" s="0">
        <v>918</v>
      </c>
      <c r="F186" t="s" s="0">
        <v>919</v>
      </c>
      <c r="G186" t="s" s="0">
        <v>66</v>
      </c>
      <c r="H186" t="s" s="0">
        <v>208</v>
      </c>
      <c r="I186" t="s" s="0">
        <v>443</v>
      </c>
      <c r="J186" t="n" s="2">
        <v>1.2</v>
      </c>
      <c r="K186" t="s">
        <v>33</v>
      </c>
      <c r="L186" t="s">
        <v>33</v>
      </c>
      <c r="M186" s="3">
        <f>IFERROR(K186/J186,0)</f>
      </c>
      <c r="N186" t="s">
        <v>920</v>
      </c>
      <c r="O186" t="s">
        <v>42</v>
      </c>
      <c r="P186" t="s">
        <v>921</v>
      </c>
      <c r="Q186" t="s">
        <v>33</v>
      </c>
      <c r="R186" t="s">
        <v>922</v>
      </c>
      <c r="S186" t="s">
        <v>32</v>
      </c>
      <c r="T186" t="n" s="2">
        <v>1.8</v>
      </c>
      <c r="U186" t="s">
        <v>448</v>
      </c>
      <c r="V186" t="s">
        <v>39</v>
      </c>
      <c r="W186" t="n" s="2">
        <v>0.6</v>
      </c>
    </row>
    <row r="187">
      <c r="A187" t="s" s="0">
        <v>915</v>
      </c>
      <c r="B187" t="s" s="0">
        <v>24</v>
      </c>
      <c r="C187" t="s" s="0">
        <v>916</v>
      </c>
      <c r="D187" t="s" s="0">
        <v>917</v>
      </c>
      <c r="E187" t="s" s="0">
        <v>918</v>
      </c>
      <c r="F187" t="s" s="0">
        <v>919</v>
      </c>
      <c r="G187" t="s" s="0">
        <v>46</v>
      </c>
      <c r="H187" t="s" s="0">
        <v>864</v>
      </c>
      <c r="I187" t="s" s="0">
        <v>31</v>
      </c>
      <c r="J187" t="n" s="2">
        <v>2.05</v>
      </c>
      <c r="K187" t="n" s="2">
        <v>2.0</v>
      </c>
      <c r="L187" t="n" s="2">
        <v>0.05</v>
      </c>
      <c r="M187" s="3">
        <f>IFERROR(K187/J187,0)</f>
      </c>
      <c r="N187" t="s">
        <v>920</v>
      </c>
      <c r="O187" t="s">
        <v>42</v>
      </c>
      <c r="P187" t="s">
        <v>923</v>
      </c>
      <c r="Q187" t="s">
        <v>924</v>
      </c>
      <c r="R187" t="s">
        <v>925</v>
      </c>
      <c r="S187" t="s">
        <v>42</v>
      </c>
      <c r="T187" t="n" s="2">
        <v>2.77</v>
      </c>
      <c r="U187" t="s">
        <v>926</v>
      </c>
      <c r="V187" t="s">
        <v>927</v>
      </c>
      <c r="W187" t="n" s="2">
        <v>0.72</v>
      </c>
    </row>
    <row r="188">
      <c r="A188" t="s" s="0">
        <v>915</v>
      </c>
      <c r="B188" t="s" s="0">
        <v>24</v>
      </c>
      <c r="C188" t="s" s="0">
        <v>916</v>
      </c>
      <c r="D188" t="s" s="0">
        <v>917</v>
      </c>
      <c r="E188" t="s" s="0">
        <v>918</v>
      </c>
      <c r="F188" t="s" s="0">
        <v>919</v>
      </c>
      <c r="G188" t="s" s="0">
        <v>421</v>
      </c>
      <c r="H188" t="s" s="0">
        <v>928</v>
      </c>
      <c r="I188" t="s" s="0">
        <v>181</v>
      </c>
      <c r="J188" t="n" s="2">
        <v>2.58</v>
      </c>
      <c r="K188" t="s">
        <v>33</v>
      </c>
      <c r="L188" t="s">
        <v>33</v>
      </c>
      <c r="M188" s="3">
        <f>IFERROR(K188/J188,0)</f>
      </c>
      <c r="N188" t="s">
        <v>920</v>
      </c>
      <c r="O188" t="s">
        <v>42</v>
      </c>
      <c r="P188" t="s">
        <v>929</v>
      </c>
      <c r="Q188" t="s">
        <v>33</v>
      </c>
      <c r="R188" t="s">
        <v>930</v>
      </c>
      <c r="S188" t="s">
        <v>35</v>
      </c>
      <c r="U188" t="s">
        <v>39</v>
      </c>
      <c r="V188" t="s">
        <v>39</v>
      </c>
      <c r="W188" t="s">
        <v>39</v>
      </c>
    </row>
    <row r="189">
      <c r="A189" t="s" s="0">
        <v>931</v>
      </c>
      <c r="B189" t="s" s="0">
        <v>24</v>
      </c>
      <c r="C189" t="s" s="0">
        <v>916</v>
      </c>
      <c r="D189" t="s" s="0">
        <v>932</v>
      </c>
      <c r="E189" t="s" s="0">
        <v>887</v>
      </c>
      <c r="F189" t="s" s="0">
        <v>123</v>
      </c>
      <c r="G189" t="s" s="0">
        <v>46</v>
      </c>
      <c r="H189" t="s" s="0">
        <v>347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100</v>
      </c>
      <c r="O189" t="s">
        <v>59</v>
      </c>
      <c r="P189" t="s">
        <v>933</v>
      </c>
      <c r="Q189" t="s">
        <v>33</v>
      </c>
      <c r="R189" t="s">
        <v>934</v>
      </c>
      <c r="S189" t="s">
        <v>32</v>
      </c>
      <c r="T189" t="n" s="2">
        <v>3.7</v>
      </c>
      <c r="U189" t="s">
        <v>935</v>
      </c>
      <c r="V189" t="s">
        <v>39</v>
      </c>
      <c r="W189" t="n" s="2">
        <v>0.7</v>
      </c>
    </row>
    <row r="190">
      <c r="A190" t="s" s="0">
        <v>936</v>
      </c>
      <c r="B190" t="s" s="0">
        <v>24</v>
      </c>
      <c r="C190" t="s" s="0">
        <v>916</v>
      </c>
      <c r="D190" t="s" s="0">
        <v>937</v>
      </c>
      <c r="E190" t="s" s="0">
        <v>302</v>
      </c>
      <c r="F190" t="s" s="0">
        <v>938</v>
      </c>
      <c r="G190" t="s" s="0">
        <v>66</v>
      </c>
      <c r="H190" t="s" s="0">
        <v>939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940</v>
      </c>
      <c r="O190" t="s">
        <v>59</v>
      </c>
      <c r="P190" t="s">
        <v>941</v>
      </c>
      <c r="Q190" t="s">
        <v>33</v>
      </c>
      <c r="R190" t="s">
        <v>942</v>
      </c>
      <c r="S190" t="s">
        <v>32</v>
      </c>
      <c r="T190" t="n" s="2">
        <v>4.18</v>
      </c>
      <c r="U190" t="s">
        <v>943</v>
      </c>
      <c r="V190" t="s">
        <v>39</v>
      </c>
      <c r="W190" t="n" s="2">
        <v>1.38</v>
      </c>
    </row>
    <row r="191">
      <c r="A191" t="s" s="0">
        <v>936</v>
      </c>
      <c r="B191" t="s" s="0">
        <v>24</v>
      </c>
      <c r="C191" t="s" s="0">
        <v>916</v>
      </c>
      <c r="D191" t="s" s="0">
        <v>937</v>
      </c>
      <c r="E191" t="s" s="0">
        <v>302</v>
      </c>
      <c r="F191" t="s" s="0">
        <v>938</v>
      </c>
      <c r="G191" t="s" s="0">
        <v>66</v>
      </c>
      <c r="H191" t="s" s="0">
        <v>256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940</v>
      </c>
      <c r="O191" t="s">
        <v>59</v>
      </c>
      <c r="P191" t="s">
        <v>33</v>
      </c>
      <c r="Q191" t="s">
        <v>33</v>
      </c>
      <c r="R191" t="s">
        <v>33</v>
      </c>
      <c r="S191" t="s">
        <v>42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936</v>
      </c>
      <c r="B192" t="s" s="0">
        <v>24</v>
      </c>
      <c r="C192" t="s" s="0">
        <v>916</v>
      </c>
      <c r="D192" t="s" s="0">
        <v>937</v>
      </c>
      <c r="E192" t="s" s="0">
        <v>302</v>
      </c>
      <c r="F192" t="s" s="0">
        <v>938</v>
      </c>
      <c r="G192" t="s" s="0">
        <v>46</v>
      </c>
      <c r="H192" t="s" s="0">
        <v>530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940</v>
      </c>
      <c r="O192" t="s">
        <v>59</v>
      </c>
      <c r="P192" t="s">
        <v>944</v>
      </c>
      <c r="Q192" t="s">
        <v>33</v>
      </c>
      <c r="R192" t="s">
        <v>945</v>
      </c>
      <c r="S192" t="s">
        <v>35</v>
      </c>
      <c r="T192" t="n" s="2">
        <v>4.97</v>
      </c>
      <c r="U192" t="s">
        <v>946</v>
      </c>
      <c r="V192" t="s">
        <v>39</v>
      </c>
      <c r="W192" t="n" s="2">
        <v>0.77</v>
      </c>
    </row>
    <row r="193">
      <c r="A193" t="s" s="0">
        <v>947</v>
      </c>
      <c r="B193" t="s" s="0">
        <v>24</v>
      </c>
      <c r="C193" t="s" s="0">
        <v>916</v>
      </c>
      <c r="D193" t="s" s="0">
        <v>948</v>
      </c>
      <c r="E193" t="s" s="0">
        <v>138</v>
      </c>
      <c r="F193" t="s" s="0">
        <v>949</v>
      </c>
      <c r="G193" t="s" s="0">
        <v>66</v>
      </c>
      <c r="H193" t="s" s="0">
        <v>273</v>
      </c>
      <c r="I193" t="s" s="0">
        <v>198</v>
      </c>
      <c r="J193" t="n" s="2">
        <v>1.6</v>
      </c>
      <c r="K193" t="s">
        <v>33</v>
      </c>
      <c r="L193" t="s">
        <v>33</v>
      </c>
      <c r="M193" s="3">
        <f>IFERROR(K193/J193,0)</f>
      </c>
      <c r="N193" t="s">
        <v>93</v>
      </c>
      <c r="O193" t="s">
        <v>59</v>
      </c>
      <c r="P193" t="s">
        <v>950</v>
      </c>
      <c r="Q193" t="s">
        <v>33</v>
      </c>
      <c r="R193" t="s">
        <v>951</v>
      </c>
      <c r="S193" t="s">
        <v>32</v>
      </c>
      <c r="T193" t="n" s="2">
        <v>1.785</v>
      </c>
      <c r="U193" t="s">
        <v>952</v>
      </c>
      <c r="V193" t="s">
        <v>39</v>
      </c>
      <c r="W193" t="n" s="2">
        <v>0.19</v>
      </c>
    </row>
    <row r="194">
      <c r="A194" t="s" s="0">
        <v>947</v>
      </c>
      <c r="B194" t="s" s="0">
        <v>24</v>
      </c>
      <c r="C194" t="s" s="0">
        <v>916</v>
      </c>
      <c r="D194" t="s" s="0">
        <v>948</v>
      </c>
      <c r="E194" t="s" s="0">
        <v>138</v>
      </c>
      <c r="F194" t="s" s="0">
        <v>949</v>
      </c>
      <c r="G194" t="s" s="0">
        <v>46</v>
      </c>
      <c r="H194" t="s" s="0">
        <v>271</v>
      </c>
      <c r="I194" t="s" s="0">
        <v>31</v>
      </c>
      <c r="J194" t="n" s="2">
        <v>2.3</v>
      </c>
      <c r="K194" t="s">
        <v>33</v>
      </c>
      <c r="L194" t="s">
        <v>33</v>
      </c>
      <c r="M194" s="3">
        <f>IFERROR(K194/J194,0)</f>
      </c>
      <c r="N194" t="s">
        <v>93</v>
      </c>
      <c r="O194" t="s">
        <v>59</v>
      </c>
      <c r="P194" t="s">
        <v>953</v>
      </c>
      <c r="Q194" t="s">
        <v>33</v>
      </c>
      <c r="R194" t="s">
        <v>954</v>
      </c>
      <c r="S194" t="s">
        <v>42</v>
      </c>
      <c r="T194" t="n" s="2">
        <v>2.75</v>
      </c>
      <c r="U194" t="s">
        <v>955</v>
      </c>
      <c r="V194" t="s">
        <v>39</v>
      </c>
      <c r="W194" t="n" s="2">
        <v>0.45</v>
      </c>
    </row>
    <row r="195">
      <c r="A195" t="s" s="0">
        <v>947</v>
      </c>
      <c r="B195" t="s" s="0">
        <v>24</v>
      </c>
      <c r="C195" t="s" s="0">
        <v>916</v>
      </c>
      <c r="D195" t="s" s="0">
        <v>948</v>
      </c>
      <c r="E195" t="s" s="0">
        <v>138</v>
      </c>
      <c r="F195" t="s" s="0">
        <v>949</v>
      </c>
      <c r="G195" t="s" s="0">
        <v>641</v>
      </c>
      <c r="H195" t="s" s="0">
        <v>433</v>
      </c>
      <c r="I195" t="s" s="0">
        <v>181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93</v>
      </c>
      <c r="O195" t="s">
        <v>59</v>
      </c>
      <c r="P195" t="s">
        <v>33</v>
      </c>
      <c r="Q195" t="s">
        <v>33</v>
      </c>
      <c r="R195" t="s">
        <v>33</v>
      </c>
      <c r="S195" t="s">
        <v>35</v>
      </c>
      <c r="U195" t="s">
        <v>39</v>
      </c>
      <c r="V195" t="s">
        <v>39</v>
      </c>
      <c r="W195" t="s">
        <v>39</v>
      </c>
    </row>
    <row r="196">
      <c r="A196" t="s" s="0">
        <v>956</v>
      </c>
      <c r="B196" t="s" s="0">
        <v>24</v>
      </c>
      <c r="C196" t="s" s="0">
        <v>916</v>
      </c>
      <c r="D196" t="s" s="0">
        <v>957</v>
      </c>
      <c r="E196" t="s" s="0">
        <v>872</v>
      </c>
      <c r="F196" t="s" s="0">
        <v>442</v>
      </c>
      <c r="G196" t="s" s="0">
        <v>66</v>
      </c>
      <c r="H196" t="s" s="0">
        <v>958</v>
      </c>
      <c r="I196" t="s" s="0">
        <v>198</v>
      </c>
      <c r="J196" t="n" s="2">
        <v>1.6</v>
      </c>
      <c r="K196" t="s">
        <v>33</v>
      </c>
      <c r="L196" t="s">
        <v>33</v>
      </c>
      <c r="M196" s="3">
        <f>IFERROR(K196/J196,0)</f>
      </c>
      <c r="N196" t="s">
        <v>88</v>
      </c>
      <c r="O196" t="s">
        <v>59</v>
      </c>
      <c r="P196" t="s">
        <v>959</v>
      </c>
      <c r="Q196" t="s">
        <v>33</v>
      </c>
      <c r="R196" t="s">
        <v>960</v>
      </c>
      <c r="S196" t="s">
        <v>32</v>
      </c>
      <c r="T196" t="n" s="2">
        <v>1.7</v>
      </c>
      <c r="U196" t="s">
        <v>961</v>
      </c>
      <c r="V196" t="s">
        <v>39</v>
      </c>
      <c r="W196" t="n" s="2">
        <v>0.1</v>
      </c>
    </row>
    <row r="197">
      <c r="A197" t="s" s="0">
        <v>956</v>
      </c>
      <c r="B197" t="s" s="0">
        <v>24</v>
      </c>
      <c r="C197" t="s" s="0">
        <v>916</v>
      </c>
      <c r="D197" t="s" s="0">
        <v>957</v>
      </c>
      <c r="E197" t="s" s="0">
        <v>872</v>
      </c>
      <c r="F197" t="s" s="0">
        <v>442</v>
      </c>
      <c r="G197" t="s" s="0">
        <v>46</v>
      </c>
      <c r="H197" t="s" s="0">
        <v>152</v>
      </c>
      <c r="I197" t="s" s="0">
        <v>31</v>
      </c>
      <c r="J197" t="n" s="2">
        <v>2.1</v>
      </c>
      <c r="K197" t="s">
        <v>33</v>
      </c>
      <c r="L197" t="s">
        <v>33</v>
      </c>
      <c r="M197" s="3">
        <f>IFERROR(K197/J197,0)</f>
      </c>
      <c r="N197" t="s">
        <v>88</v>
      </c>
      <c r="O197" t="s">
        <v>59</v>
      </c>
      <c r="P197" t="s">
        <v>962</v>
      </c>
      <c r="Q197" t="s">
        <v>33</v>
      </c>
      <c r="R197" t="s">
        <v>963</v>
      </c>
      <c r="S197" t="s">
        <v>42</v>
      </c>
      <c r="T197" t="n" s="2">
        <v>2.3</v>
      </c>
      <c r="U197" t="s">
        <v>964</v>
      </c>
      <c r="V197" t="s">
        <v>39</v>
      </c>
      <c r="W197" t="n" s="2">
        <v>0.2</v>
      </c>
    </row>
    <row r="198">
      <c r="A198" t="s" s="0">
        <v>956</v>
      </c>
      <c r="B198" t="s" s="0">
        <v>24</v>
      </c>
      <c r="C198" t="s" s="0">
        <v>916</v>
      </c>
      <c r="D198" t="s" s="0">
        <v>957</v>
      </c>
      <c r="E198" t="s" s="0">
        <v>872</v>
      </c>
      <c r="F198" t="s" s="0">
        <v>442</v>
      </c>
      <c r="G198" t="s" s="0">
        <v>965</v>
      </c>
      <c r="H198" t="s" s="0">
        <v>966</v>
      </c>
      <c r="I198" t="s" s="0">
        <v>181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88</v>
      </c>
      <c r="O198" t="s">
        <v>59</v>
      </c>
      <c r="P198" t="s">
        <v>33</v>
      </c>
      <c r="Q198" t="s">
        <v>33</v>
      </c>
      <c r="R198" t="s">
        <v>33</v>
      </c>
      <c r="S198" t="s">
        <v>35</v>
      </c>
      <c r="U198" t="s">
        <v>39</v>
      </c>
      <c r="V198" t="s">
        <v>39</v>
      </c>
      <c r="W198" t="s">
        <v>39</v>
      </c>
    </row>
    <row r="199">
      <c r="A199" t="s" s="0">
        <v>956</v>
      </c>
      <c r="B199" t="s" s="0">
        <v>24</v>
      </c>
      <c r="C199" t="s" s="0">
        <v>916</v>
      </c>
      <c r="D199" t="s" s="0">
        <v>957</v>
      </c>
      <c r="E199" t="s" s="0">
        <v>872</v>
      </c>
      <c r="F199" t="s" s="0">
        <v>442</v>
      </c>
      <c r="G199" t="s" s="0">
        <v>66</v>
      </c>
      <c r="H199" t="s" s="0">
        <v>967</v>
      </c>
      <c r="I199" t="s" s="0">
        <v>198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88</v>
      </c>
      <c r="O199" t="s">
        <v>59</v>
      </c>
      <c r="P199" t="s">
        <v>33</v>
      </c>
      <c r="Q199" t="s">
        <v>33</v>
      </c>
      <c r="R199" t="s">
        <v>33</v>
      </c>
      <c r="S199" t="s">
        <v>83</v>
      </c>
      <c r="T199" t="n" s="2">
        <v>1.7</v>
      </c>
      <c r="U199" t="s">
        <v>39</v>
      </c>
      <c r="V199" t="s">
        <v>39</v>
      </c>
      <c r="W199" t="s">
        <v>39</v>
      </c>
    </row>
    <row r="200">
      <c r="A200" t="s" s="0">
        <v>968</v>
      </c>
      <c r="B200" t="s" s="0">
        <v>24</v>
      </c>
      <c r="C200" t="s" s="0">
        <v>916</v>
      </c>
      <c r="D200" t="s" s="0">
        <v>969</v>
      </c>
      <c r="E200" t="s" s="0">
        <v>468</v>
      </c>
      <c r="F200" t="s" s="0">
        <v>970</v>
      </c>
      <c r="G200" t="s" s="0">
        <v>46</v>
      </c>
      <c r="H200" t="s" s="0">
        <v>530</v>
      </c>
      <c r="I200" t="s" s="0">
        <v>31</v>
      </c>
      <c r="J200" t="n" s="2">
        <v>2.25</v>
      </c>
      <c r="K200" t="s">
        <v>33</v>
      </c>
      <c r="L200" t="s">
        <v>33</v>
      </c>
      <c r="M200" s="3">
        <f>IFERROR(K200/J200,0)</f>
      </c>
      <c r="N200" t="s">
        <v>902</v>
      </c>
      <c r="O200" t="s">
        <v>59</v>
      </c>
      <c r="P200" t="s">
        <v>238</v>
      </c>
      <c r="Q200" t="s">
        <v>33</v>
      </c>
      <c r="R200" t="s">
        <v>33</v>
      </c>
      <c r="S200" t="s">
        <v>32</v>
      </c>
      <c r="T200" t="n" s="2">
        <v>2.7</v>
      </c>
      <c r="U200" t="s">
        <v>971</v>
      </c>
      <c r="V200" t="s">
        <v>39</v>
      </c>
      <c r="W200" t="n" s="2">
        <v>0.45</v>
      </c>
    </row>
    <row r="201">
      <c r="A201" t="s" s="0">
        <v>968</v>
      </c>
      <c r="B201" t="s" s="0">
        <v>24</v>
      </c>
      <c r="C201" t="s" s="0">
        <v>916</v>
      </c>
      <c r="D201" t="s" s="0">
        <v>969</v>
      </c>
      <c r="E201" t="s" s="0">
        <v>468</v>
      </c>
      <c r="F201" t="s" s="0">
        <v>970</v>
      </c>
      <c r="G201" t="s" s="0">
        <v>433</v>
      </c>
      <c r="H201" t="s" s="0">
        <v>972</v>
      </c>
      <c r="I201" t="s" s="0">
        <v>973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902</v>
      </c>
      <c r="O201" t="s">
        <v>59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974</v>
      </c>
      <c r="B202" t="s" s="0">
        <v>24</v>
      </c>
      <c r="C202" t="s" s="0">
        <v>916</v>
      </c>
      <c r="D202" t="s" s="0">
        <v>975</v>
      </c>
      <c r="E202" t="s" s="0">
        <v>558</v>
      </c>
      <c r="F202" t="s" s="0">
        <v>976</v>
      </c>
      <c r="G202" t="s" s="0">
        <v>46</v>
      </c>
      <c r="H202" t="s" s="0">
        <v>82</v>
      </c>
      <c r="I202" t="s" s="0">
        <v>31</v>
      </c>
      <c r="J202" t="n" s="2">
        <v>2.6</v>
      </c>
      <c r="K202" t="s">
        <v>33</v>
      </c>
      <c r="L202" t="s">
        <v>33</v>
      </c>
      <c r="M202" s="3">
        <f>IFERROR(K202/J202,0)</f>
      </c>
      <c r="N202" t="s">
        <v>920</v>
      </c>
      <c r="O202" t="s">
        <v>59</v>
      </c>
      <c r="P202" t="s">
        <v>977</v>
      </c>
      <c r="Q202" t="s">
        <v>33</v>
      </c>
      <c r="R202" t="s">
        <v>978</v>
      </c>
      <c r="S202" t="s">
        <v>32</v>
      </c>
      <c r="T202" t="n" s="2">
        <v>3.6</v>
      </c>
      <c r="U202" t="s">
        <v>320</v>
      </c>
      <c r="V202" t="s">
        <v>39</v>
      </c>
      <c r="W202" t="n" s="2">
        <v>1.0</v>
      </c>
    </row>
    <row r="203">
      <c r="A203" t="s" s="0">
        <v>974</v>
      </c>
      <c r="B203" t="s" s="0">
        <v>24</v>
      </c>
      <c r="C203" t="s" s="0">
        <v>916</v>
      </c>
      <c r="D203" t="s" s="0">
        <v>975</v>
      </c>
      <c r="E203" t="s" s="0">
        <v>558</v>
      </c>
      <c r="F203" t="s" s="0">
        <v>976</v>
      </c>
      <c r="G203" t="s" s="0">
        <v>46</v>
      </c>
      <c r="H203" t="s" s="0">
        <v>979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920</v>
      </c>
      <c r="O203" t="s">
        <v>59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974</v>
      </c>
      <c r="B204" t="s" s="0">
        <v>24</v>
      </c>
      <c r="C204" t="s" s="0">
        <v>916</v>
      </c>
      <c r="D204" t="s" s="0">
        <v>975</v>
      </c>
      <c r="E204" t="s" s="0">
        <v>558</v>
      </c>
      <c r="F204" t="s" s="0">
        <v>976</v>
      </c>
      <c r="G204" t="s" s="0">
        <v>46</v>
      </c>
      <c r="H204" t="s" s="0">
        <v>980</v>
      </c>
      <c r="I204" t="s" s="0">
        <v>31</v>
      </c>
      <c r="J204" t="n" s="2">
        <v>2.9</v>
      </c>
      <c r="K204" t="s">
        <v>33</v>
      </c>
      <c r="L204" t="s">
        <v>33</v>
      </c>
      <c r="M204" s="3">
        <f>IFERROR(K204/J204,0)</f>
      </c>
      <c r="N204" t="s">
        <v>920</v>
      </c>
      <c r="O204" t="s">
        <v>59</v>
      </c>
      <c r="P204" t="s">
        <v>977</v>
      </c>
      <c r="Q204" t="s">
        <v>33</v>
      </c>
      <c r="R204" t="s">
        <v>981</v>
      </c>
      <c r="S204" t="s">
        <v>35</v>
      </c>
      <c r="T204" t="n" s="2">
        <v>3.6</v>
      </c>
      <c r="U204" t="s">
        <v>982</v>
      </c>
      <c r="V204" t="s">
        <v>39</v>
      </c>
      <c r="W204" t="n" s="2">
        <v>0.7</v>
      </c>
    </row>
    <row r="205">
      <c r="A205" t="s" s="0">
        <v>983</v>
      </c>
      <c r="B205" t="s" s="0">
        <v>24</v>
      </c>
      <c r="C205" t="s" s="0">
        <v>916</v>
      </c>
      <c r="D205" t="s" s="0">
        <v>984</v>
      </c>
      <c r="E205" t="s" s="0">
        <v>772</v>
      </c>
      <c r="F205" t="s" s="0">
        <v>985</v>
      </c>
      <c r="G205" t="s" s="0">
        <v>209</v>
      </c>
      <c r="H205" t="s" s="0">
        <v>588</v>
      </c>
      <c r="I205" t="s" s="0">
        <v>198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986</v>
      </c>
      <c r="O205" t="s">
        <v>59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983</v>
      </c>
      <c r="B206" t="s" s="0">
        <v>24</v>
      </c>
      <c r="C206" t="s" s="0">
        <v>916</v>
      </c>
      <c r="D206" t="s" s="0">
        <v>984</v>
      </c>
      <c r="E206" t="s" s="0">
        <v>772</v>
      </c>
      <c r="F206" t="s" s="0">
        <v>985</v>
      </c>
      <c r="G206" t="s" s="0">
        <v>46</v>
      </c>
      <c r="H206" t="s" s="0">
        <v>774</v>
      </c>
      <c r="I206" t="s" s="0">
        <v>31</v>
      </c>
      <c r="J206" t="n" s="2">
        <v>1.7</v>
      </c>
      <c r="K206" t="s">
        <v>33</v>
      </c>
      <c r="L206" t="s">
        <v>33</v>
      </c>
      <c r="M206" s="3">
        <f>IFERROR(K206/J206,0)</f>
      </c>
      <c r="N206" t="s">
        <v>986</v>
      </c>
      <c r="O206" t="s">
        <v>59</v>
      </c>
      <c r="P206" t="s">
        <v>987</v>
      </c>
      <c r="Q206" t="s">
        <v>33</v>
      </c>
      <c r="R206" t="s">
        <v>988</v>
      </c>
      <c r="S206" t="s">
        <v>42</v>
      </c>
      <c r="T206" t="n" s="2">
        <v>1.855</v>
      </c>
      <c r="U206" t="s">
        <v>989</v>
      </c>
      <c r="V206" t="s">
        <v>39</v>
      </c>
      <c r="W206" t="n" s="2">
        <v>0.16</v>
      </c>
    </row>
    <row r="207">
      <c r="A207" t="s" s="0">
        <v>983</v>
      </c>
      <c r="B207" t="s" s="0">
        <v>24</v>
      </c>
      <c r="C207" t="s" s="0">
        <v>916</v>
      </c>
      <c r="D207" t="s" s="0">
        <v>984</v>
      </c>
      <c r="E207" t="s" s="0">
        <v>772</v>
      </c>
      <c r="F207" t="s" s="0">
        <v>985</v>
      </c>
      <c r="G207" t="s" s="0">
        <v>46</v>
      </c>
      <c r="H207" t="s" s="0">
        <v>990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986</v>
      </c>
      <c r="O207" t="s">
        <v>59</v>
      </c>
      <c r="P207" t="s">
        <v>33</v>
      </c>
      <c r="Q207" t="s">
        <v>33</v>
      </c>
      <c r="R207" t="s">
        <v>33</v>
      </c>
      <c r="S207" t="s">
        <v>35</v>
      </c>
      <c r="T207" t="n" s="2">
        <v>1.855</v>
      </c>
      <c r="U207" t="s">
        <v>39</v>
      </c>
      <c r="V207" t="s">
        <v>39</v>
      </c>
      <c r="W207" t="s">
        <v>39</v>
      </c>
    </row>
    <row r="208">
      <c r="A208" t="s" s="0">
        <v>983</v>
      </c>
      <c r="B208" t="s" s="0">
        <v>24</v>
      </c>
      <c r="C208" t="s" s="0">
        <v>916</v>
      </c>
      <c r="D208" t="s" s="0">
        <v>984</v>
      </c>
      <c r="E208" t="s" s="0">
        <v>772</v>
      </c>
      <c r="F208" t="s" s="0">
        <v>985</v>
      </c>
      <c r="G208" t="s" s="0">
        <v>991</v>
      </c>
      <c r="H208" t="s" s="0">
        <v>928</v>
      </c>
      <c r="I208" t="s" s="0">
        <v>181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986</v>
      </c>
      <c r="O208" t="s">
        <v>59</v>
      </c>
      <c r="P208" t="s">
        <v>992</v>
      </c>
      <c r="Q208" t="s">
        <v>33</v>
      </c>
      <c r="R208" t="s">
        <v>993</v>
      </c>
      <c r="S208" t="s">
        <v>83</v>
      </c>
      <c r="U208" t="s">
        <v>39</v>
      </c>
      <c r="V208" t="s">
        <v>39</v>
      </c>
      <c r="W208" t="s">
        <v>39</v>
      </c>
    </row>
    <row r="209">
      <c r="A209" t="s" s="0">
        <v>983</v>
      </c>
      <c r="B209" t="s" s="0">
        <v>24</v>
      </c>
      <c r="C209" t="s" s="0">
        <v>916</v>
      </c>
      <c r="D209" t="s" s="0">
        <v>984</v>
      </c>
      <c r="E209" t="s" s="0">
        <v>772</v>
      </c>
      <c r="F209" t="s" s="0">
        <v>985</v>
      </c>
      <c r="G209" t="s" s="0">
        <v>34</v>
      </c>
      <c r="H209" t="s" s="0">
        <v>67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986</v>
      </c>
      <c r="O209" t="s">
        <v>59</v>
      </c>
      <c r="P209" t="s">
        <v>33</v>
      </c>
      <c r="Q209" t="s">
        <v>33</v>
      </c>
      <c r="R209" t="s">
        <v>33</v>
      </c>
      <c r="S209" t="s">
        <v>88</v>
      </c>
      <c r="U209" t="s">
        <v>39</v>
      </c>
      <c r="V209" t="s">
        <v>39</v>
      </c>
      <c r="W209" t="s">
        <v>39</v>
      </c>
    </row>
    <row r="210">
      <c r="A210" t="s" s="0">
        <v>983</v>
      </c>
      <c r="B210" t="s" s="0">
        <v>24</v>
      </c>
      <c r="C210" t="s" s="0">
        <v>916</v>
      </c>
      <c r="D210" t="s" s="0">
        <v>984</v>
      </c>
      <c r="E210" t="s" s="0">
        <v>772</v>
      </c>
      <c r="F210" t="s" s="0">
        <v>985</v>
      </c>
      <c r="G210" t="s" s="0">
        <v>896</v>
      </c>
      <c r="H210" t="s" s="0">
        <v>994</v>
      </c>
      <c r="I210" t="s" s="0">
        <v>181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986</v>
      </c>
      <c r="O210" t="s">
        <v>59</v>
      </c>
      <c r="P210" t="s">
        <v>995</v>
      </c>
      <c r="Q210" t="s">
        <v>33</v>
      </c>
      <c r="R210" t="s">
        <v>996</v>
      </c>
      <c r="S210" t="s">
        <v>93</v>
      </c>
      <c r="U210" t="s">
        <v>39</v>
      </c>
      <c r="V210" t="s">
        <v>39</v>
      </c>
      <c r="W210" t="s">
        <v>39</v>
      </c>
    </row>
    <row r="211">
      <c r="A211" t="s" s="0">
        <v>983</v>
      </c>
      <c r="B211" t="s" s="0">
        <v>24</v>
      </c>
      <c r="C211" t="s" s="0">
        <v>916</v>
      </c>
      <c r="D211" t="s" s="0">
        <v>984</v>
      </c>
      <c r="E211" t="s" s="0">
        <v>772</v>
      </c>
      <c r="F211" t="s" s="0">
        <v>985</v>
      </c>
      <c r="G211" t="s" s="0">
        <v>34</v>
      </c>
      <c r="H211" t="s" s="0">
        <v>202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986</v>
      </c>
      <c r="O211" t="s">
        <v>59</v>
      </c>
      <c r="P211" t="s">
        <v>962</v>
      </c>
      <c r="Q211" t="s">
        <v>33</v>
      </c>
      <c r="R211" t="s">
        <v>997</v>
      </c>
      <c r="S211" t="s">
        <v>95</v>
      </c>
      <c r="U211" t="s">
        <v>39</v>
      </c>
      <c r="V211" t="s">
        <v>39</v>
      </c>
      <c r="W211" t="s">
        <v>39</v>
      </c>
    </row>
    <row r="212">
      <c r="A212" t="s" s="0">
        <v>983</v>
      </c>
      <c r="B212" t="s" s="0">
        <v>24</v>
      </c>
      <c r="C212" t="s" s="0">
        <v>916</v>
      </c>
      <c r="D212" t="s" s="0">
        <v>984</v>
      </c>
      <c r="E212" t="s" s="0">
        <v>772</v>
      </c>
      <c r="F212" t="s" s="0">
        <v>985</v>
      </c>
      <c r="G212" t="s" s="0">
        <v>46</v>
      </c>
      <c r="H212" t="s" s="0">
        <v>634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986</v>
      </c>
      <c r="O212" t="s">
        <v>59</v>
      </c>
      <c r="P212" t="s">
        <v>33</v>
      </c>
      <c r="Q212" t="s">
        <v>33</v>
      </c>
      <c r="R212" t="s">
        <v>33</v>
      </c>
      <c r="S212" t="s">
        <v>100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983</v>
      </c>
      <c r="B213" t="s" s="0">
        <v>24</v>
      </c>
      <c r="C213" t="s" s="0">
        <v>916</v>
      </c>
      <c r="D213" t="s" s="0">
        <v>984</v>
      </c>
      <c r="E213" t="s" s="0">
        <v>772</v>
      </c>
      <c r="F213" t="s" s="0">
        <v>985</v>
      </c>
      <c r="G213" t="s" s="0">
        <v>896</v>
      </c>
      <c r="H213" t="s" s="0">
        <v>998</v>
      </c>
      <c r="I213" t="s" s="0">
        <v>181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986</v>
      </c>
      <c r="O213" t="s">
        <v>59</v>
      </c>
      <c r="P213" t="s">
        <v>992</v>
      </c>
      <c r="Q213" t="s">
        <v>33</v>
      </c>
      <c r="R213" t="s">
        <v>999</v>
      </c>
      <c r="S213" t="s">
        <v>910</v>
      </c>
      <c r="U213" t="s">
        <v>39</v>
      </c>
      <c r="V213" t="s">
        <v>39</v>
      </c>
      <c r="W213" t="s">
        <v>39</v>
      </c>
    </row>
    <row r="214">
      <c r="A214" t="s" s="0">
        <v>1000</v>
      </c>
      <c r="B214" t="s" s="0">
        <v>24</v>
      </c>
      <c r="C214" t="s" s="0">
        <v>916</v>
      </c>
      <c r="D214" t="s" s="0">
        <v>1001</v>
      </c>
      <c r="E214" t="s" s="0">
        <v>65</v>
      </c>
      <c r="F214" t="s" s="0">
        <v>1002</v>
      </c>
      <c r="G214" t="s" s="0">
        <v>46</v>
      </c>
      <c r="H214" t="s" s="0">
        <v>277</v>
      </c>
      <c r="I214" t="s" s="0">
        <v>31</v>
      </c>
      <c r="J214" t="n" s="2">
        <v>4.1</v>
      </c>
      <c r="K214" t="n" s="2">
        <v>2.8</v>
      </c>
      <c r="L214" t="n" s="2">
        <v>1.3</v>
      </c>
      <c r="M214" s="3">
        <f>IFERROR(K214/J214,0)</f>
      </c>
      <c r="N214" t="s">
        <v>500</v>
      </c>
      <c r="O214" t="s">
        <v>35</v>
      </c>
      <c r="P214" t="s">
        <v>1003</v>
      </c>
      <c r="Q214" t="s">
        <v>1004</v>
      </c>
      <c r="R214" t="s">
        <v>1005</v>
      </c>
      <c r="S214" t="s">
        <v>32</v>
      </c>
      <c r="T214" t="n" s="2">
        <v>5.2</v>
      </c>
      <c r="U214" t="s">
        <v>1006</v>
      </c>
      <c r="V214" t="s">
        <v>1007</v>
      </c>
      <c r="W214" t="n" s="2">
        <v>1.1</v>
      </c>
    </row>
    <row r="215">
      <c r="A215" t="s" s="0">
        <v>1000</v>
      </c>
      <c r="B215" t="s" s="0">
        <v>24</v>
      </c>
      <c r="C215" t="s" s="0">
        <v>916</v>
      </c>
      <c r="D215" t="s" s="0">
        <v>1001</v>
      </c>
      <c r="E215" t="s" s="0">
        <v>65</v>
      </c>
      <c r="F215" t="s" s="0">
        <v>1002</v>
      </c>
      <c r="G215" t="s" s="0">
        <v>46</v>
      </c>
      <c r="H215" t="s" s="0">
        <v>610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500</v>
      </c>
      <c r="O215" t="s">
        <v>35</v>
      </c>
      <c r="P215" t="s">
        <v>1008</v>
      </c>
      <c r="Q215" t="s">
        <v>33</v>
      </c>
      <c r="R215" t="s">
        <v>1009</v>
      </c>
      <c r="S215" t="s">
        <v>42</v>
      </c>
      <c r="T215" t="n" s="2">
        <v>5.2</v>
      </c>
      <c r="U215" t="s">
        <v>1010</v>
      </c>
      <c r="V215" t="s">
        <v>39</v>
      </c>
      <c r="W215" t="n" s="2">
        <v>0.9</v>
      </c>
    </row>
    <row r="216">
      <c r="A216" t="s" s="0">
        <v>1011</v>
      </c>
      <c r="B216" t="s" s="0">
        <v>24</v>
      </c>
      <c r="C216" t="s" s="0">
        <v>916</v>
      </c>
      <c r="D216" t="s" s="0">
        <v>1012</v>
      </c>
      <c r="E216" t="s" s="0">
        <v>468</v>
      </c>
      <c r="F216" t="s" s="0">
        <v>1013</v>
      </c>
      <c r="G216" t="s" s="0">
        <v>287</v>
      </c>
      <c r="H216" t="s" s="0">
        <v>531</v>
      </c>
      <c r="I216" t="s" s="0">
        <v>1014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920</v>
      </c>
      <c r="O216" t="s">
        <v>32</v>
      </c>
      <c r="P216" t="s">
        <v>1015</v>
      </c>
      <c r="Q216" t="s">
        <v>33</v>
      </c>
      <c r="R216" t="s">
        <v>1016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1011</v>
      </c>
      <c r="B217" t="s" s="0">
        <v>24</v>
      </c>
      <c r="C217" t="s" s="0">
        <v>916</v>
      </c>
      <c r="D217" t="s" s="0">
        <v>1012</v>
      </c>
      <c r="E217" t="s" s="0">
        <v>468</v>
      </c>
      <c r="F217" t="s" s="0">
        <v>1013</v>
      </c>
      <c r="G217" t="s" s="0">
        <v>195</v>
      </c>
      <c r="H217" t="s" s="0">
        <v>141</v>
      </c>
      <c r="I217" t="s" s="0">
        <v>443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920</v>
      </c>
      <c r="O217" t="s">
        <v>32</v>
      </c>
      <c r="P217" t="s">
        <v>1017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1011</v>
      </c>
      <c r="B218" t="s" s="0">
        <v>24</v>
      </c>
      <c r="C218" t="s" s="0">
        <v>916</v>
      </c>
      <c r="D218" t="s" s="0">
        <v>1012</v>
      </c>
      <c r="E218" t="s" s="0">
        <v>468</v>
      </c>
      <c r="F218" t="s" s="0">
        <v>1013</v>
      </c>
      <c r="G218" t="s" s="0">
        <v>264</v>
      </c>
      <c r="H218" t="s" s="0">
        <v>1018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920</v>
      </c>
      <c r="O218" t="s">
        <v>32</v>
      </c>
      <c r="P218" t="s">
        <v>1019</v>
      </c>
      <c r="Q218" t="s">
        <v>33</v>
      </c>
      <c r="R218" t="s">
        <v>1020</v>
      </c>
      <c r="S218" t="s">
        <v>35</v>
      </c>
      <c r="U218" t="s">
        <v>39</v>
      </c>
      <c r="V218" t="s">
        <v>39</v>
      </c>
      <c r="W218" t="s">
        <v>39</v>
      </c>
    </row>
    <row r="219">
      <c r="A219" t="s" s="0">
        <v>1011</v>
      </c>
      <c r="B219" t="s" s="0">
        <v>24</v>
      </c>
      <c r="C219" t="s" s="0">
        <v>916</v>
      </c>
      <c r="D219" t="s" s="0">
        <v>1012</v>
      </c>
      <c r="E219" t="s" s="0">
        <v>468</v>
      </c>
      <c r="F219" t="s" s="0">
        <v>1013</v>
      </c>
      <c r="G219" t="s" s="0">
        <v>46</v>
      </c>
      <c r="H219" t="s" s="0">
        <v>1021</v>
      </c>
      <c r="I219" t="s" s="0">
        <v>31</v>
      </c>
      <c r="J219" t="n" s="2">
        <v>2.4</v>
      </c>
      <c r="K219" t="n" s="2">
        <v>2.3</v>
      </c>
      <c r="L219" t="n" s="2">
        <v>0.1</v>
      </c>
      <c r="M219" s="3">
        <f>IFERROR(K219/J219,0)</f>
      </c>
      <c r="N219" t="s">
        <v>920</v>
      </c>
      <c r="O219" t="s">
        <v>32</v>
      </c>
      <c r="P219" t="s">
        <v>1022</v>
      </c>
      <c r="Q219" t="s">
        <v>1023</v>
      </c>
      <c r="R219" t="s">
        <v>1024</v>
      </c>
      <c r="S219" t="s">
        <v>83</v>
      </c>
      <c r="U219" t="s">
        <v>39</v>
      </c>
      <c r="V219" t="s">
        <v>39</v>
      </c>
      <c r="W219" t="s">
        <v>39</v>
      </c>
    </row>
    <row r="220">
      <c r="A220" t="s" s="0">
        <v>1025</v>
      </c>
      <c r="B220" t="s" s="0">
        <v>24</v>
      </c>
      <c r="C220" t="s" s="0">
        <v>916</v>
      </c>
      <c r="D220" t="s" s="0">
        <v>1026</v>
      </c>
      <c r="E220" t="s" s="0">
        <v>1027</v>
      </c>
      <c r="F220" t="s" s="0">
        <v>1028</v>
      </c>
      <c r="G220" t="s" s="0">
        <v>46</v>
      </c>
      <c r="H220" t="s" s="0">
        <v>768</v>
      </c>
      <c r="I220" t="s" s="0">
        <v>31</v>
      </c>
      <c r="J220" t="n" s="2">
        <v>2.25</v>
      </c>
      <c r="K220" t="s">
        <v>33</v>
      </c>
      <c r="L220" t="s">
        <v>33</v>
      </c>
      <c r="M220" s="3">
        <f>IFERROR(K220/J220,0)</f>
      </c>
      <c r="N220" t="s">
        <v>902</v>
      </c>
      <c r="O220" t="s">
        <v>59</v>
      </c>
      <c r="P220" t="s">
        <v>1029</v>
      </c>
      <c r="Q220" t="s">
        <v>33</v>
      </c>
      <c r="R220" t="s">
        <v>1030</v>
      </c>
      <c r="S220" t="s">
        <v>32</v>
      </c>
      <c r="T220" t="n" s="2">
        <v>2.65</v>
      </c>
      <c r="U220" t="s">
        <v>1031</v>
      </c>
      <c r="V220" t="s">
        <v>39</v>
      </c>
      <c r="W220" t="n" s="2">
        <v>0.4</v>
      </c>
    </row>
    <row r="221">
      <c r="A221" t="s" s="0">
        <v>1025</v>
      </c>
      <c r="B221" t="s" s="0">
        <v>24</v>
      </c>
      <c r="C221" t="s" s="0">
        <v>916</v>
      </c>
      <c r="D221" t="s" s="0">
        <v>1026</v>
      </c>
      <c r="E221" t="s" s="0">
        <v>1027</v>
      </c>
      <c r="F221" t="s" s="0">
        <v>1028</v>
      </c>
      <c r="G221" t="s" s="0">
        <v>485</v>
      </c>
      <c r="H221" t="s" s="0">
        <v>530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902</v>
      </c>
      <c r="O221" t="s">
        <v>59</v>
      </c>
      <c r="P221" t="s">
        <v>33</v>
      </c>
      <c r="Q221" t="s">
        <v>33</v>
      </c>
      <c r="R221" t="s">
        <v>33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1025</v>
      </c>
      <c r="B222" t="s" s="0">
        <v>24</v>
      </c>
      <c r="C222" t="s" s="0">
        <v>916</v>
      </c>
      <c r="D222" t="s" s="0">
        <v>1026</v>
      </c>
      <c r="E222" t="s" s="0">
        <v>1027</v>
      </c>
      <c r="F222" t="s" s="0">
        <v>1028</v>
      </c>
      <c r="G222" t="s" s="0">
        <v>1032</v>
      </c>
      <c r="H222" t="s" s="0">
        <v>623</v>
      </c>
      <c r="I222" t="s" s="0">
        <v>181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902</v>
      </c>
      <c r="O222" t="s">
        <v>59</v>
      </c>
      <c r="P222" t="s">
        <v>33</v>
      </c>
      <c r="Q222" t="s">
        <v>33</v>
      </c>
      <c r="R222" t="s">
        <v>33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1025</v>
      </c>
      <c r="B223" t="s" s="0">
        <v>24</v>
      </c>
      <c r="C223" t="s" s="0">
        <v>916</v>
      </c>
      <c r="D223" t="s" s="0">
        <v>1026</v>
      </c>
      <c r="E223" t="s" s="0">
        <v>1027</v>
      </c>
      <c r="F223" t="s" s="0">
        <v>1028</v>
      </c>
      <c r="G223" t="s" s="0">
        <v>965</v>
      </c>
      <c r="H223" t="s" s="0">
        <v>711</v>
      </c>
      <c r="I223" t="s" s="0">
        <v>181</v>
      </c>
      <c r="J223" t="n" s="2">
        <v>3.6</v>
      </c>
      <c r="K223" t="s">
        <v>33</v>
      </c>
      <c r="L223" t="s">
        <v>33</v>
      </c>
      <c r="M223" s="3">
        <f>IFERROR(K223/J223,0)</f>
      </c>
      <c r="N223" t="s">
        <v>902</v>
      </c>
      <c r="O223" t="s">
        <v>59</v>
      </c>
      <c r="P223" t="s">
        <v>1033</v>
      </c>
      <c r="Q223" t="s">
        <v>33</v>
      </c>
      <c r="R223" t="s">
        <v>1034</v>
      </c>
      <c r="S223" t="s">
        <v>83</v>
      </c>
      <c r="U223" t="s">
        <v>39</v>
      </c>
      <c r="V223" t="s">
        <v>39</v>
      </c>
      <c r="W223" t="s">
        <v>39</v>
      </c>
    </row>
    <row r="224">
      <c r="A224" t="s" s="0">
        <v>1035</v>
      </c>
      <c r="B224" t="s" s="0">
        <v>24</v>
      </c>
      <c r="C224" t="s" s="0">
        <v>916</v>
      </c>
      <c r="D224" t="s" s="0">
        <v>1036</v>
      </c>
      <c r="E224" t="s" s="0">
        <v>55</v>
      </c>
      <c r="F224" t="s" s="0">
        <v>1037</v>
      </c>
      <c r="G224" t="s" s="0">
        <v>66</v>
      </c>
      <c r="H224" t="s" s="0">
        <v>1038</v>
      </c>
      <c r="I224" t="s" s="0">
        <v>31</v>
      </c>
      <c r="J224" t="n" s="2">
        <v>2.5</v>
      </c>
      <c r="K224" t="s">
        <v>33</v>
      </c>
      <c r="L224" t="s">
        <v>33</v>
      </c>
      <c r="M224" s="3">
        <f>IFERROR(K224/J224,0)</f>
      </c>
      <c r="N224" t="s">
        <v>1039</v>
      </c>
      <c r="O224" t="s">
        <v>59</v>
      </c>
      <c r="P224" t="s">
        <v>1040</v>
      </c>
      <c r="Q224" t="s">
        <v>33</v>
      </c>
      <c r="R224" t="s">
        <v>1041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1035</v>
      </c>
      <c r="B225" t="s" s="0">
        <v>24</v>
      </c>
      <c r="C225" t="s" s="0">
        <v>916</v>
      </c>
      <c r="D225" t="s" s="0">
        <v>1036</v>
      </c>
      <c r="E225" t="s" s="0">
        <v>55</v>
      </c>
      <c r="F225" t="s" s="0">
        <v>1037</v>
      </c>
      <c r="G225" t="s" s="0">
        <v>46</v>
      </c>
      <c r="H225" t="s" s="0">
        <v>641</v>
      </c>
      <c r="I225" t="s" s="0">
        <v>31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1039</v>
      </c>
      <c r="O225" t="s">
        <v>59</v>
      </c>
      <c r="P225" t="s">
        <v>1042</v>
      </c>
      <c r="Q225" t="s">
        <v>33</v>
      </c>
      <c r="R225" t="s">
        <v>1043</v>
      </c>
      <c r="S225" t="s">
        <v>42</v>
      </c>
      <c r="T225" t="n" s="2">
        <v>4.0</v>
      </c>
      <c r="U225" t="s">
        <v>1044</v>
      </c>
      <c r="V225" t="s">
        <v>39</v>
      </c>
      <c r="W225" t="n" s="2">
        <v>1.1</v>
      </c>
    </row>
    <row r="226">
      <c r="A226" t="s" s="0">
        <v>1035</v>
      </c>
      <c r="B226" t="s" s="0">
        <v>24</v>
      </c>
      <c r="C226" t="s" s="0">
        <v>916</v>
      </c>
      <c r="D226" t="s" s="0">
        <v>1036</v>
      </c>
      <c r="E226" t="s" s="0">
        <v>55</v>
      </c>
      <c r="F226" t="s" s="0">
        <v>1037</v>
      </c>
      <c r="G226" t="s" s="0">
        <v>311</v>
      </c>
      <c r="H226" t="s" s="0">
        <v>1045</v>
      </c>
      <c r="I226" t="s" s="0">
        <v>181</v>
      </c>
      <c r="J226" t="n" s="2">
        <v>4.1</v>
      </c>
      <c r="K226" t="s">
        <v>33</v>
      </c>
      <c r="L226" t="s">
        <v>33</v>
      </c>
      <c r="M226" s="3">
        <f>IFERROR(K226/J226,0)</f>
      </c>
      <c r="N226" t="s">
        <v>1039</v>
      </c>
      <c r="O226" t="s">
        <v>59</v>
      </c>
      <c r="P226" t="s">
        <v>1046</v>
      </c>
      <c r="Q226" t="s">
        <v>33</v>
      </c>
      <c r="R226" t="s">
        <v>1047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1048</v>
      </c>
      <c r="B227" t="s" s="0">
        <v>24</v>
      </c>
      <c r="C227" t="s" s="0">
        <v>916</v>
      </c>
      <c r="D227" t="s" s="0">
        <v>1049</v>
      </c>
      <c r="E227" t="s" s="0">
        <v>918</v>
      </c>
      <c r="F227" t="s" s="0">
        <v>1050</v>
      </c>
      <c r="G227" t="s" s="0">
        <v>66</v>
      </c>
      <c r="H227" t="s" s="0">
        <v>46</v>
      </c>
      <c r="I227" t="s" s="0">
        <v>443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902</v>
      </c>
      <c r="O227" t="s">
        <v>59</v>
      </c>
      <c r="P227" t="s">
        <v>1051</v>
      </c>
      <c r="Q227" t="s">
        <v>33</v>
      </c>
      <c r="R227" t="s">
        <v>1052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1048</v>
      </c>
      <c r="B228" t="s" s="0">
        <v>24</v>
      </c>
      <c r="C228" t="s" s="0">
        <v>916</v>
      </c>
      <c r="D228" t="s" s="0">
        <v>1049</v>
      </c>
      <c r="E228" t="s" s="0">
        <v>918</v>
      </c>
      <c r="F228" t="s" s="0">
        <v>1050</v>
      </c>
      <c r="G228" t="s" s="0">
        <v>46</v>
      </c>
      <c r="H228" t="s" s="0">
        <v>573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902</v>
      </c>
      <c r="O228" t="s">
        <v>59</v>
      </c>
      <c r="P228" t="s">
        <v>33</v>
      </c>
      <c r="Q228" t="s">
        <v>33</v>
      </c>
      <c r="R228" t="s">
        <v>33</v>
      </c>
      <c r="S228" t="s">
        <v>42</v>
      </c>
      <c r="T228" t="n" s="2">
        <v>1.835</v>
      </c>
      <c r="U228" t="s">
        <v>39</v>
      </c>
      <c r="V228" t="s">
        <v>39</v>
      </c>
      <c r="W228" t="s">
        <v>39</v>
      </c>
    </row>
    <row r="229">
      <c r="A229" t="s" s="0">
        <v>1048</v>
      </c>
      <c r="B229" t="s" s="0">
        <v>24</v>
      </c>
      <c r="C229" t="s" s="0">
        <v>916</v>
      </c>
      <c r="D229" t="s" s="0">
        <v>1049</v>
      </c>
      <c r="E229" t="s" s="0">
        <v>918</v>
      </c>
      <c r="F229" t="s" s="0">
        <v>1050</v>
      </c>
      <c r="G229" t="s" s="0">
        <v>46</v>
      </c>
      <c r="H229" t="s" s="0">
        <v>565</v>
      </c>
      <c r="I229" t="s" s="0">
        <v>31</v>
      </c>
      <c r="J229" t="n" s="2">
        <v>1.55</v>
      </c>
      <c r="K229" t="s">
        <v>33</v>
      </c>
      <c r="L229" t="s">
        <v>33</v>
      </c>
      <c r="M229" s="3">
        <f>IFERROR(K229/J229,0)</f>
      </c>
      <c r="N229" t="s">
        <v>902</v>
      </c>
      <c r="O229" t="s">
        <v>59</v>
      </c>
      <c r="P229" t="s">
        <v>619</v>
      </c>
      <c r="Q229" t="s">
        <v>33</v>
      </c>
      <c r="R229" t="s">
        <v>33</v>
      </c>
      <c r="S229" t="s">
        <v>35</v>
      </c>
      <c r="T229" t="n" s="2">
        <v>1.835</v>
      </c>
      <c r="U229" t="s">
        <v>946</v>
      </c>
      <c r="V229" t="s">
        <v>39</v>
      </c>
      <c r="W229" t="n" s="2">
        <v>0.29</v>
      </c>
    </row>
    <row r="230">
      <c r="A230" t="s" s="0">
        <v>1053</v>
      </c>
      <c r="B230" t="s" s="0">
        <v>24</v>
      </c>
      <c r="C230" t="s" s="0">
        <v>916</v>
      </c>
      <c r="D230" t="s" s="0">
        <v>1054</v>
      </c>
      <c r="E230" t="s" s="0">
        <v>918</v>
      </c>
      <c r="F230" t="s" s="0">
        <v>606</v>
      </c>
      <c r="G230" t="s" s="0">
        <v>1055</v>
      </c>
      <c r="H230" t="s" s="0">
        <v>790</v>
      </c>
      <c r="I230" t="s" s="0">
        <v>391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1056</v>
      </c>
      <c r="O230" t="s">
        <v>59</v>
      </c>
      <c r="P230" t="s">
        <v>1057</v>
      </c>
      <c r="Q230" t="s">
        <v>33</v>
      </c>
      <c r="R230" t="s">
        <v>1058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1053</v>
      </c>
      <c r="B231" t="s" s="0">
        <v>24</v>
      </c>
      <c r="C231" t="s" s="0">
        <v>916</v>
      </c>
      <c r="D231" t="s" s="0">
        <v>1054</v>
      </c>
      <c r="E231" t="s" s="0">
        <v>918</v>
      </c>
      <c r="F231" t="s" s="0">
        <v>606</v>
      </c>
      <c r="G231" t="s" s="0">
        <v>66</v>
      </c>
      <c r="H231" t="s" s="0">
        <v>663</v>
      </c>
      <c r="I231" t="s" s="0">
        <v>1059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1056</v>
      </c>
      <c r="O231" t="s">
        <v>59</v>
      </c>
      <c r="P231" t="s">
        <v>1060</v>
      </c>
      <c r="Q231" t="s">
        <v>33</v>
      </c>
      <c r="R231" t="s">
        <v>1061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1053</v>
      </c>
      <c r="B232" t="s" s="0">
        <v>24</v>
      </c>
      <c r="C232" t="s" s="0">
        <v>916</v>
      </c>
      <c r="D232" t="s" s="0">
        <v>1054</v>
      </c>
      <c r="E232" t="s" s="0">
        <v>918</v>
      </c>
      <c r="F232" t="s" s="0">
        <v>606</v>
      </c>
      <c r="G232" t="s" s="0">
        <v>46</v>
      </c>
      <c r="H232" t="s" s="0">
        <v>152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1056</v>
      </c>
      <c r="O232" t="s">
        <v>59</v>
      </c>
      <c r="P232" t="s">
        <v>33</v>
      </c>
      <c r="Q232" t="s">
        <v>33</v>
      </c>
      <c r="R232" t="s">
        <v>33</v>
      </c>
      <c r="S232" t="s">
        <v>35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1053</v>
      </c>
      <c r="B233" t="s" s="0">
        <v>24</v>
      </c>
      <c r="C233" t="s" s="0">
        <v>916</v>
      </c>
      <c r="D233" t="s" s="0">
        <v>1054</v>
      </c>
      <c r="E233" t="s" s="0">
        <v>918</v>
      </c>
      <c r="F233" t="s" s="0">
        <v>606</v>
      </c>
      <c r="G233" t="s" s="0">
        <v>66</v>
      </c>
      <c r="H233" t="s" s="0">
        <v>150</v>
      </c>
      <c r="I233" t="s" s="0">
        <v>198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1056</v>
      </c>
      <c r="O233" t="s">
        <v>59</v>
      </c>
      <c r="P233" t="s">
        <v>33</v>
      </c>
      <c r="Q233" t="s">
        <v>33</v>
      </c>
      <c r="R233" t="s">
        <v>33</v>
      </c>
      <c r="S233" t="s">
        <v>83</v>
      </c>
      <c r="U233" t="s">
        <v>39</v>
      </c>
      <c r="V233" t="s">
        <v>39</v>
      </c>
      <c r="W233" t="s">
        <v>39</v>
      </c>
    </row>
    <row r="234">
      <c r="A234" t="s" s="0">
        <v>1053</v>
      </c>
      <c r="B234" t="s" s="0">
        <v>24</v>
      </c>
      <c r="C234" t="s" s="0">
        <v>916</v>
      </c>
      <c r="D234" t="s" s="0">
        <v>1054</v>
      </c>
      <c r="E234" t="s" s="0">
        <v>918</v>
      </c>
      <c r="F234" t="s" s="0">
        <v>606</v>
      </c>
      <c r="G234" t="s" s="0">
        <v>192</v>
      </c>
      <c r="H234" t="s" s="0">
        <v>141</v>
      </c>
      <c r="I234" t="s" s="0">
        <v>31</v>
      </c>
      <c r="J234" t="n" s="2">
        <v>0.87</v>
      </c>
      <c r="K234" t="s">
        <v>33</v>
      </c>
      <c r="L234" t="s">
        <v>33</v>
      </c>
      <c r="M234" s="3">
        <f>IFERROR(K234/J234,0)</f>
      </c>
      <c r="N234" t="s">
        <v>1056</v>
      </c>
      <c r="O234" t="s">
        <v>59</v>
      </c>
      <c r="P234" t="s">
        <v>1060</v>
      </c>
      <c r="Q234" t="s">
        <v>33</v>
      </c>
      <c r="R234" t="s">
        <v>1062</v>
      </c>
      <c r="S234" t="s">
        <v>88</v>
      </c>
      <c r="U234" t="s">
        <v>39</v>
      </c>
      <c r="V234" t="s">
        <v>39</v>
      </c>
      <c r="W234" t="s">
        <v>39</v>
      </c>
    </row>
    <row r="235">
      <c r="A235" t="s" s="0">
        <v>1053</v>
      </c>
      <c r="B235" t="s" s="0">
        <v>24</v>
      </c>
      <c r="C235" t="s" s="0">
        <v>916</v>
      </c>
      <c r="D235" t="s" s="0">
        <v>1054</v>
      </c>
      <c r="E235" t="s" s="0">
        <v>918</v>
      </c>
      <c r="F235" t="s" s="0">
        <v>606</v>
      </c>
      <c r="G235" t="s" s="0">
        <v>46</v>
      </c>
      <c r="H235" t="s" s="0">
        <v>179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1056</v>
      </c>
      <c r="O235" t="s">
        <v>59</v>
      </c>
      <c r="P235" t="s">
        <v>1063</v>
      </c>
      <c r="Q235" t="s">
        <v>33</v>
      </c>
      <c r="R235" t="s">
        <v>1064</v>
      </c>
      <c r="S235" t="s">
        <v>93</v>
      </c>
      <c r="T235" t="n" s="2">
        <v>1.78</v>
      </c>
      <c r="U235" t="s">
        <v>1065</v>
      </c>
      <c r="V235" t="s">
        <v>39</v>
      </c>
      <c r="W235" t="n" s="2">
        <v>0.43</v>
      </c>
    </row>
    <row r="236">
      <c r="A236" t="s" s="0">
        <v>1066</v>
      </c>
      <c r="B236" t="s" s="0">
        <v>24</v>
      </c>
      <c r="C236" t="s" s="0">
        <v>916</v>
      </c>
      <c r="D236" t="s" s="0">
        <v>1067</v>
      </c>
      <c r="E236" t="s" s="0">
        <v>1068</v>
      </c>
      <c r="F236" t="s" s="0">
        <v>1069</v>
      </c>
      <c r="G236" t="s" s="0">
        <v>66</v>
      </c>
      <c r="H236" t="s" s="0">
        <v>208</v>
      </c>
      <c r="I236" t="s" s="0">
        <v>1070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93</v>
      </c>
      <c r="O236" t="s">
        <v>32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39</v>
      </c>
      <c r="V236" t="s">
        <v>39</v>
      </c>
      <c r="W236" t="s">
        <v>39</v>
      </c>
    </row>
    <row r="237">
      <c r="A237" t="s" s="0">
        <v>1066</v>
      </c>
      <c r="B237" t="s" s="0">
        <v>24</v>
      </c>
      <c r="C237" t="s" s="0">
        <v>916</v>
      </c>
      <c r="D237" t="s" s="0">
        <v>1067</v>
      </c>
      <c r="E237" t="s" s="0">
        <v>1068</v>
      </c>
      <c r="F237" t="s" s="0">
        <v>1069</v>
      </c>
      <c r="G237" t="s" s="0">
        <v>46</v>
      </c>
      <c r="H237" t="s" s="0">
        <v>417</v>
      </c>
      <c r="I237" t="s" s="0">
        <v>1070</v>
      </c>
      <c r="J237" t="n" s="2">
        <v>2.7</v>
      </c>
      <c r="K237" t="n" s="2">
        <v>2.2</v>
      </c>
      <c r="L237" t="n" s="2">
        <v>0.5</v>
      </c>
      <c r="M237" s="3">
        <f>IFERROR(K237/J237,0)</f>
      </c>
      <c r="N237" t="s">
        <v>93</v>
      </c>
      <c r="O237" t="s">
        <v>32</v>
      </c>
      <c r="P237" t="s">
        <v>1019</v>
      </c>
      <c r="Q237" t="s">
        <v>353</v>
      </c>
      <c r="R237" t="s">
        <v>1071</v>
      </c>
      <c r="S237" t="s">
        <v>42</v>
      </c>
      <c r="T237" t="n" s="2">
        <v>3.3</v>
      </c>
      <c r="U237" t="s">
        <v>878</v>
      </c>
      <c r="V237" t="s">
        <v>1072</v>
      </c>
      <c r="W237" t="n" s="2">
        <v>0.6</v>
      </c>
    </row>
    <row r="238">
      <c r="A238" t="s" s="0">
        <v>1073</v>
      </c>
      <c r="B238" t="s" s="0">
        <v>24</v>
      </c>
      <c r="C238" t="s" s="0">
        <v>1074</v>
      </c>
      <c r="D238" t="s" s="0">
        <v>1075</v>
      </c>
      <c r="E238" t="s" s="0">
        <v>872</v>
      </c>
      <c r="F238" t="s" s="0">
        <v>1076</v>
      </c>
      <c r="G238" t="s" s="0">
        <v>66</v>
      </c>
      <c r="H238" t="s" s="0">
        <v>46</v>
      </c>
      <c r="I238" t="s" s="0">
        <v>443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95</v>
      </c>
      <c r="O238" t="s">
        <v>59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1073</v>
      </c>
      <c r="B239" t="s" s="0">
        <v>24</v>
      </c>
      <c r="C239" t="s" s="0">
        <v>1074</v>
      </c>
      <c r="D239" t="s" s="0">
        <v>1075</v>
      </c>
      <c r="E239" t="s" s="0">
        <v>872</v>
      </c>
      <c r="F239" t="s" s="0">
        <v>1076</v>
      </c>
      <c r="G239" t="s" s="0">
        <v>46</v>
      </c>
      <c r="H239" t="s" s="0">
        <v>864</v>
      </c>
      <c r="I239" t="s" s="0">
        <v>31</v>
      </c>
      <c r="J239" t="n" s="2">
        <v>1.5</v>
      </c>
      <c r="K239" t="s">
        <v>33</v>
      </c>
      <c r="L239" t="s">
        <v>33</v>
      </c>
      <c r="M239" s="3">
        <f>IFERROR(K239/J239,0)</f>
      </c>
      <c r="N239" t="s">
        <v>95</v>
      </c>
      <c r="O239" t="s">
        <v>59</v>
      </c>
      <c r="P239" t="s">
        <v>1019</v>
      </c>
      <c r="Q239" t="s">
        <v>33</v>
      </c>
      <c r="R239" t="s">
        <v>33</v>
      </c>
      <c r="S239" t="s">
        <v>42</v>
      </c>
      <c r="T239" t="n" s="2">
        <v>2.25</v>
      </c>
      <c r="U239" t="s">
        <v>448</v>
      </c>
      <c r="V239" t="s">
        <v>39</v>
      </c>
      <c r="W239" t="n" s="2">
        <v>0.75</v>
      </c>
    </row>
    <row r="240">
      <c r="A240" t="s" s="0">
        <v>1077</v>
      </c>
      <c r="B240" t="s" s="0">
        <v>24</v>
      </c>
      <c r="C240" t="s" s="0">
        <v>1074</v>
      </c>
      <c r="D240" t="s" s="0">
        <v>1078</v>
      </c>
      <c r="E240" t="s" s="0">
        <v>577</v>
      </c>
      <c r="F240" t="s" s="0">
        <v>1079</v>
      </c>
      <c r="G240" t="s" s="0">
        <v>250</v>
      </c>
      <c r="H240" t="s" s="0">
        <v>663</v>
      </c>
      <c r="I240" t="s" s="0">
        <v>198</v>
      </c>
      <c r="J240" t="n" s="2">
        <v>1.05</v>
      </c>
      <c r="K240" t="s">
        <v>33</v>
      </c>
      <c r="L240" t="s">
        <v>33</v>
      </c>
      <c r="M240" s="3">
        <f>IFERROR(K240/J240,0)</f>
      </c>
      <c r="N240" t="s">
        <v>392</v>
      </c>
      <c r="O240" t="s">
        <v>42</v>
      </c>
      <c r="P240" t="s">
        <v>959</v>
      </c>
      <c r="Q240" t="s">
        <v>33</v>
      </c>
      <c r="R240" t="s">
        <v>1080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1077</v>
      </c>
      <c r="B241" t="s" s="0">
        <v>24</v>
      </c>
      <c r="C241" t="s" s="0">
        <v>1074</v>
      </c>
      <c r="D241" t="s" s="0">
        <v>1078</v>
      </c>
      <c r="E241" t="s" s="0">
        <v>577</v>
      </c>
      <c r="F241" t="s" s="0">
        <v>1079</v>
      </c>
      <c r="G241" t="s" s="0">
        <v>46</v>
      </c>
      <c r="H241" t="s" s="0">
        <v>128</v>
      </c>
      <c r="I241" t="s" s="0">
        <v>31</v>
      </c>
      <c r="J241" t="n" s="2">
        <v>1.5</v>
      </c>
      <c r="K241" t="s">
        <v>33</v>
      </c>
      <c r="L241" t="s">
        <v>33</v>
      </c>
      <c r="M241" s="3">
        <f>IFERROR(K241/J241,0)</f>
      </c>
      <c r="N241" t="s">
        <v>392</v>
      </c>
      <c r="O241" t="s">
        <v>42</v>
      </c>
      <c r="P241" t="s">
        <v>1081</v>
      </c>
      <c r="Q241" t="s">
        <v>33</v>
      </c>
      <c r="R241" t="s">
        <v>1082</v>
      </c>
      <c r="S241" t="s">
        <v>42</v>
      </c>
      <c r="T241" t="n" s="2">
        <v>2.17</v>
      </c>
      <c r="U241" t="s">
        <v>1083</v>
      </c>
      <c r="V241" t="s">
        <v>39</v>
      </c>
      <c r="W241" t="n" s="2">
        <v>0.67</v>
      </c>
    </row>
    <row r="242">
      <c r="A242" t="s" s="0">
        <v>1077</v>
      </c>
      <c r="B242" t="s" s="0">
        <v>24</v>
      </c>
      <c r="C242" t="s" s="0">
        <v>1074</v>
      </c>
      <c r="D242" t="s" s="0">
        <v>1078</v>
      </c>
      <c r="E242" t="s" s="0">
        <v>577</v>
      </c>
      <c r="F242" t="s" s="0">
        <v>1079</v>
      </c>
      <c r="G242" t="s" s="0">
        <v>896</v>
      </c>
      <c r="H242" t="s" s="0">
        <v>489</v>
      </c>
      <c r="I242" t="s" s="0">
        <v>181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392</v>
      </c>
      <c r="O242" t="s">
        <v>42</v>
      </c>
      <c r="P242" t="s">
        <v>987</v>
      </c>
      <c r="Q242" t="s">
        <v>33</v>
      </c>
      <c r="R242" t="s">
        <v>1084</v>
      </c>
      <c r="S242" t="s">
        <v>35</v>
      </c>
      <c r="U242" t="s">
        <v>39</v>
      </c>
      <c r="V242" t="s">
        <v>39</v>
      </c>
      <c r="W242" t="s">
        <v>39</v>
      </c>
    </row>
    <row r="243">
      <c r="A243" t="s" s="0">
        <v>1085</v>
      </c>
      <c r="B243" t="s" s="0">
        <v>24</v>
      </c>
      <c r="C243" t="s" s="0">
        <v>1074</v>
      </c>
      <c r="D243" t="s" s="0">
        <v>688</v>
      </c>
      <c r="E243" t="s" s="0">
        <v>388</v>
      </c>
      <c r="F243" t="s" s="0">
        <v>123</v>
      </c>
      <c r="G243" t="s" s="0">
        <v>46</v>
      </c>
      <c r="H243" t="s" s="0">
        <v>128</v>
      </c>
      <c r="I243" t="s" s="0">
        <v>31</v>
      </c>
      <c r="J243" t="n" s="2">
        <v>1.4</v>
      </c>
      <c r="K243" t="s">
        <v>33</v>
      </c>
      <c r="L243" t="s">
        <v>33</v>
      </c>
      <c r="M243" s="3">
        <f>IFERROR(K243/J243,0)</f>
      </c>
      <c r="N243" t="s">
        <v>986</v>
      </c>
      <c r="O243" t="s">
        <v>59</v>
      </c>
      <c r="P243" t="s">
        <v>1086</v>
      </c>
      <c r="Q243" t="s">
        <v>33</v>
      </c>
      <c r="R243" t="s">
        <v>1087</v>
      </c>
      <c r="S243" t="s">
        <v>32</v>
      </c>
      <c r="T243" t="n" s="2">
        <v>2.0</v>
      </c>
      <c r="U243" t="s">
        <v>1088</v>
      </c>
      <c r="V243" t="s">
        <v>39</v>
      </c>
      <c r="W243" t="n" s="2">
        <v>0.6</v>
      </c>
    </row>
    <row r="244">
      <c r="A244" t="s" s="0">
        <v>1089</v>
      </c>
      <c r="B244" t="s" s="0">
        <v>24</v>
      </c>
      <c r="C244" t="s" s="0">
        <v>1090</v>
      </c>
      <c r="D244" t="s" s="0">
        <v>1091</v>
      </c>
      <c r="E244" t="s" s="0">
        <v>1092</v>
      </c>
      <c r="F244" t="s" s="0">
        <v>1093</v>
      </c>
      <c r="G244" t="s" s="0">
        <v>150</v>
      </c>
      <c r="H244" t="s" s="0">
        <v>629</v>
      </c>
      <c r="I244" t="s" s="0">
        <v>31</v>
      </c>
      <c r="J244" t="n" s="2">
        <v>3.5</v>
      </c>
      <c r="K244" t="n" s="2">
        <v>2.9</v>
      </c>
      <c r="L244" t="n" s="2">
        <v>0.6</v>
      </c>
      <c r="M244" s="3">
        <f>IFERROR(K244/J244,0)</f>
      </c>
      <c r="N244" t="s">
        <v>549</v>
      </c>
      <c r="O244" t="s">
        <v>32</v>
      </c>
      <c r="P244" t="s">
        <v>1094</v>
      </c>
      <c r="Q244" t="s">
        <v>1095</v>
      </c>
      <c r="R244" t="s">
        <v>1096</v>
      </c>
      <c r="S244" t="s">
        <v>32</v>
      </c>
      <c r="T244" t="n" s="2">
        <v>4.77</v>
      </c>
      <c r="U244" t="s">
        <v>1097</v>
      </c>
      <c r="V244" t="s">
        <v>1098</v>
      </c>
      <c r="W244" t="n" s="2">
        <v>1.27</v>
      </c>
    </row>
    <row r="245">
      <c r="A245" t="s" s="0">
        <v>1089</v>
      </c>
      <c r="B245" t="s" s="0">
        <v>24</v>
      </c>
      <c r="C245" t="s" s="0">
        <v>1090</v>
      </c>
      <c r="D245" t="s" s="0">
        <v>1091</v>
      </c>
      <c r="E245" t="s" s="0">
        <v>1092</v>
      </c>
      <c r="F245" t="s" s="0">
        <v>1093</v>
      </c>
      <c r="G245" t="s" s="0">
        <v>150</v>
      </c>
      <c r="H245" t="s" s="0">
        <v>151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549</v>
      </c>
      <c r="O245" t="s">
        <v>32</v>
      </c>
      <c r="P245" t="s">
        <v>1099</v>
      </c>
      <c r="Q245" t="s">
        <v>33</v>
      </c>
      <c r="R245" t="s">
        <v>1100</v>
      </c>
      <c r="S245" t="s">
        <v>42</v>
      </c>
      <c r="T245" t="n" s="2">
        <v>4.77</v>
      </c>
      <c r="U245" t="s">
        <v>1101</v>
      </c>
      <c r="V245" t="s">
        <v>39</v>
      </c>
      <c r="W245" t="n" s="2">
        <v>1.17</v>
      </c>
    </row>
    <row r="246">
      <c r="A246" t="s" s="0">
        <v>1089</v>
      </c>
      <c r="B246" t="s" s="0">
        <v>24</v>
      </c>
      <c r="C246" t="s" s="0">
        <v>1090</v>
      </c>
      <c r="D246" t="s" s="0">
        <v>1091</v>
      </c>
      <c r="E246" t="s" s="0">
        <v>1092</v>
      </c>
      <c r="F246" t="s" s="0">
        <v>1093</v>
      </c>
      <c r="G246" t="s" s="0">
        <v>150</v>
      </c>
      <c r="H246" t="s" s="0">
        <v>1102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549</v>
      </c>
      <c r="O246" t="s">
        <v>32</v>
      </c>
      <c r="P246" t="s">
        <v>33</v>
      </c>
      <c r="Q246" t="s">
        <v>33</v>
      </c>
      <c r="R246" t="s">
        <v>33</v>
      </c>
      <c r="S246" t="s">
        <v>35</v>
      </c>
      <c r="T246" t="n" s="2">
        <v>4.77</v>
      </c>
      <c r="U246" t="s">
        <v>39</v>
      </c>
      <c r="V246" t="s">
        <v>39</v>
      </c>
      <c r="W246" t="s">
        <v>39</v>
      </c>
    </row>
    <row r="247">
      <c r="A247" t="s" s="0">
        <v>1089</v>
      </c>
      <c r="B247" t="s" s="0">
        <v>24</v>
      </c>
      <c r="C247" t="s" s="0">
        <v>1090</v>
      </c>
      <c r="D247" t="s" s="0">
        <v>1091</v>
      </c>
      <c r="E247" t="s" s="0">
        <v>1092</v>
      </c>
      <c r="F247" t="s" s="0">
        <v>1093</v>
      </c>
      <c r="G247" t="s" s="0">
        <v>46</v>
      </c>
      <c r="H247" t="s" s="0">
        <v>286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549</v>
      </c>
      <c r="O247" t="s">
        <v>32</v>
      </c>
      <c r="P247" t="s">
        <v>1103</v>
      </c>
      <c r="Q247" t="s">
        <v>33</v>
      </c>
      <c r="R247" t="s">
        <v>1104</v>
      </c>
      <c r="S247" t="s">
        <v>83</v>
      </c>
      <c r="T247" t="n" s="2">
        <v>5.82</v>
      </c>
      <c r="U247" t="s">
        <v>1105</v>
      </c>
      <c r="V247" t="s">
        <v>39</v>
      </c>
      <c r="W247" t="n" s="2">
        <v>1.82</v>
      </c>
    </row>
    <row r="248">
      <c r="A248" t="s" s="0">
        <v>1089</v>
      </c>
      <c r="B248" t="s" s="0">
        <v>24</v>
      </c>
      <c r="C248" t="s" s="0">
        <v>1090</v>
      </c>
      <c r="D248" t="s" s="0">
        <v>1091</v>
      </c>
      <c r="E248" t="s" s="0">
        <v>1092</v>
      </c>
      <c r="F248" t="s" s="0">
        <v>1093</v>
      </c>
      <c r="G248" t="s" s="0">
        <v>46</v>
      </c>
      <c r="H248" t="s" s="0">
        <v>610</v>
      </c>
      <c r="I248" t="s" s="0">
        <v>31</v>
      </c>
      <c r="J248" t="n" s="2">
        <v>3.99</v>
      </c>
      <c r="K248" t="s">
        <v>33</v>
      </c>
      <c r="L248" t="s">
        <v>33</v>
      </c>
      <c r="M248" s="3">
        <f>IFERROR(K248/J248,0)</f>
      </c>
      <c r="N248" t="s">
        <v>549</v>
      </c>
      <c r="O248" t="s">
        <v>32</v>
      </c>
      <c r="P248" t="s">
        <v>1106</v>
      </c>
      <c r="Q248" t="s">
        <v>33</v>
      </c>
      <c r="R248" t="s">
        <v>1107</v>
      </c>
      <c r="S248" t="s">
        <v>88</v>
      </c>
      <c r="T248" t="n" s="2">
        <v>5.82</v>
      </c>
      <c r="U248" t="s">
        <v>1108</v>
      </c>
      <c r="V248" t="s">
        <v>39</v>
      </c>
      <c r="W248" t="n" s="2">
        <v>1.83</v>
      </c>
    </row>
    <row r="249">
      <c r="A249" t="s" s="0">
        <v>1109</v>
      </c>
      <c r="B249" t="s" s="0">
        <v>24</v>
      </c>
      <c r="C249" t="s" s="0">
        <v>1090</v>
      </c>
      <c r="D249" t="s" s="0">
        <v>1110</v>
      </c>
      <c r="E249" t="s" s="0">
        <v>374</v>
      </c>
      <c r="F249" t="s" s="0">
        <v>1111</v>
      </c>
      <c r="G249" t="s" s="0">
        <v>66</v>
      </c>
      <c r="H249" t="s" s="0">
        <v>790</v>
      </c>
      <c r="I249" t="s" s="0">
        <v>198</v>
      </c>
      <c r="J249" t="n" s="2">
        <v>1.3</v>
      </c>
      <c r="K249" t="n" s="2">
        <v>1.32</v>
      </c>
      <c r="L249" t="n" s="2">
        <v>-0.02</v>
      </c>
      <c r="M249" s="3">
        <f>IFERROR(K249/J249,0)</f>
      </c>
      <c r="N249" t="s">
        <v>677</v>
      </c>
      <c r="O249" t="s">
        <v>32</v>
      </c>
      <c r="P249" t="s">
        <v>1112</v>
      </c>
      <c r="Q249" t="s">
        <v>1113</v>
      </c>
      <c r="R249" t="s">
        <v>1114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1109</v>
      </c>
      <c r="B250" t="s" s="0">
        <v>24</v>
      </c>
      <c r="C250" t="s" s="0">
        <v>1090</v>
      </c>
      <c r="D250" t="s" s="0">
        <v>1110</v>
      </c>
      <c r="E250" t="s" s="0">
        <v>374</v>
      </c>
      <c r="F250" t="s" s="0">
        <v>1111</v>
      </c>
      <c r="G250" t="s" s="0">
        <v>1115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677</v>
      </c>
      <c r="O250" t="s">
        <v>32</v>
      </c>
      <c r="P250" t="s">
        <v>33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1109</v>
      </c>
      <c r="B251" t="s" s="0">
        <v>24</v>
      </c>
      <c r="C251" t="s" s="0">
        <v>1090</v>
      </c>
      <c r="D251" t="s" s="0">
        <v>1110</v>
      </c>
      <c r="E251" t="s" s="0">
        <v>374</v>
      </c>
      <c r="F251" t="s" s="0">
        <v>1111</v>
      </c>
      <c r="G251" t="s" s="0">
        <v>445</v>
      </c>
      <c r="H251" t="s" s="0">
        <v>152</v>
      </c>
      <c r="I251" t="s" s="0">
        <v>31</v>
      </c>
      <c r="J251" t="n" s="2">
        <v>2.1</v>
      </c>
      <c r="K251" t="s">
        <v>33</v>
      </c>
      <c r="L251" t="s">
        <v>33</v>
      </c>
      <c r="M251" s="3">
        <f>IFERROR(K251/J251,0)</f>
      </c>
      <c r="N251" t="s">
        <v>677</v>
      </c>
      <c r="O251" t="s">
        <v>32</v>
      </c>
      <c r="P251" t="s">
        <v>1086</v>
      </c>
      <c r="Q251" t="s">
        <v>33</v>
      </c>
      <c r="R251" t="s">
        <v>1116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1109</v>
      </c>
      <c r="B252" t="s" s="0">
        <v>24</v>
      </c>
      <c r="C252" t="s" s="0">
        <v>1090</v>
      </c>
      <c r="D252" t="s" s="0">
        <v>1110</v>
      </c>
      <c r="E252" t="s" s="0">
        <v>374</v>
      </c>
      <c r="F252" t="s" s="0">
        <v>1111</v>
      </c>
      <c r="G252" t="s" s="0">
        <v>264</v>
      </c>
      <c r="H252" t="s" s="0">
        <v>271</v>
      </c>
      <c r="I252" t="s" s="0">
        <v>31</v>
      </c>
      <c r="J252" t="n" s="2">
        <v>2.25</v>
      </c>
      <c r="K252" t="s">
        <v>33</v>
      </c>
      <c r="L252" t="s">
        <v>33</v>
      </c>
      <c r="M252" s="3">
        <f>IFERROR(K252/J252,0)</f>
      </c>
      <c r="N252" t="s">
        <v>677</v>
      </c>
      <c r="O252" t="s">
        <v>32</v>
      </c>
      <c r="P252" t="s">
        <v>1117</v>
      </c>
      <c r="Q252" t="s">
        <v>33</v>
      </c>
      <c r="R252" t="s">
        <v>1118</v>
      </c>
      <c r="S252" t="s">
        <v>83</v>
      </c>
      <c r="U252" t="s">
        <v>39</v>
      </c>
      <c r="V252" t="s">
        <v>39</v>
      </c>
      <c r="W252" t="s">
        <v>39</v>
      </c>
    </row>
    <row r="253">
      <c r="A253" t="s" s="0">
        <v>1109</v>
      </c>
      <c r="B253" t="s" s="0">
        <v>24</v>
      </c>
      <c r="C253" t="s" s="0">
        <v>1090</v>
      </c>
      <c r="D253" t="s" s="0">
        <v>1110</v>
      </c>
      <c r="E253" t="s" s="0">
        <v>374</v>
      </c>
      <c r="F253" t="s" s="0">
        <v>1111</v>
      </c>
      <c r="G253" t="s" s="0">
        <v>46</v>
      </c>
      <c r="H253" t="s" s="0">
        <v>864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677</v>
      </c>
      <c r="O253" t="s">
        <v>32</v>
      </c>
      <c r="P253" t="s">
        <v>1119</v>
      </c>
      <c r="Q253" t="s">
        <v>33</v>
      </c>
      <c r="R253" t="s">
        <v>1120</v>
      </c>
      <c r="S253" t="s">
        <v>88</v>
      </c>
      <c r="T253" t="n" s="2">
        <v>2.9</v>
      </c>
      <c r="U253" t="s">
        <v>946</v>
      </c>
      <c r="V253" t="s">
        <v>39</v>
      </c>
      <c r="W253" t="n" s="2">
        <v>0.45</v>
      </c>
    </row>
    <row r="254">
      <c r="A254" t="s" s="0">
        <v>1109</v>
      </c>
      <c r="B254" t="s" s="0">
        <v>24</v>
      </c>
      <c r="C254" t="s" s="0">
        <v>1090</v>
      </c>
      <c r="D254" t="s" s="0">
        <v>1110</v>
      </c>
      <c r="E254" t="s" s="0">
        <v>374</v>
      </c>
      <c r="F254" t="s" s="0">
        <v>1111</v>
      </c>
      <c r="G254" t="s" s="0">
        <v>485</v>
      </c>
      <c r="H254" t="s" s="0">
        <v>622</v>
      </c>
      <c r="I254" t="s" s="0">
        <v>181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677</v>
      </c>
      <c r="O254" t="s">
        <v>32</v>
      </c>
      <c r="P254" t="s">
        <v>1121</v>
      </c>
      <c r="Q254" t="s">
        <v>33</v>
      </c>
      <c r="R254" t="s">
        <v>1122</v>
      </c>
      <c r="S254" t="s">
        <v>93</v>
      </c>
      <c r="U254" t="s">
        <v>39</v>
      </c>
      <c r="V254" t="s">
        <v>39</v>
      </c>
      <c r="W254" t="s">
        <v>39</v>
      </c>
    </row>
    <row r="255">
      <c r="A255" t="s" s="0">
        <v>1109</v>
      </c>
      <c r="B255" t="s" s="0">
        <v>24</v>
      </c>
      <c r="C255" t="s" s="0">
        <v>1090</v>
      </c>
      <c r="D255" t="s" s="0">
        <v>1110</v>
      </c>
      <c r="E255" t="s" s="0">
        <v>374</v>
      </c>
      <c r="F255" t="s" s="0">
        <v>1111</v>
      </c>
      <c r="G255" t="s" s="0">
        <v>105</v>
      </c>
      <c r="H255" t="s" s="0">
        <v>433</v>
      </c>
      <c r="I255" t="s" s="0">
        <v>181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677</v>
      </c>
      <c r="O255" t="s">
        <v>32</v>
      </c>
      <c r="P255" t="s">
        <v>1119</v>
      </c>
      <c r="Q255" t="s">
        <v>33</v>
      </c>
      <c r="R255" t="s">
        <v>1123</v>
      </c>
      <c r="S255" t="s">
        <v>95</v>
      </c>
      <c r="U255" t="s">
        <v>39</v>
      </c>
      <c r="V255" t="s">
        <v>39</v>
      </c>
      <c r="W255" t="s">
        <v>39</v>
      </c>
    </row>
    <row r="256">
      <c r="A256" t="s" s="0">
        <v>1124</v>
      </c>
      <c r="B256" t="s" s="0">
        <v>24</v>
      </c>
      <c r="C256" t="s" s="0">
        <v>1090</v>
      </c>
      <c r="D256" t="s" s="0">
        <v>1125</v>
      </c>
      <c r="E256" t="s" s="0">
        <v>645</v>
      </c>
      <c r="F256" t="s" s="0">
        <v>1126</v>
      </c>
      <c r="G256" t="s" s="0">
        <v>733</v>
      </c>
      <c r="H256" t="s" s="0">
        <v>892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566</v>
      </c>
      <c r="O256" t="s">
        <v>59</v>
      </c>
      <c r="P256" t="s">
        <v>1127</v>
      </c>
      <c r="Q256" t="s">
        <v>33</v>
      </c>
      <c r="R256" t="s">
        <v>1128</v>
      </c>
      <c r="S256" t="s">
        <v>32</v>
      </c>
      <c r="T256" t="n" s="2">
        <v>5.43</v>
      </c>
      <c r="U256" t="s">
        <v>1101</v>
      </c>
      <c r="V256" t="s">
        <v>39</v>
      </c>
      <c r="W256" t="n" s="2">
        <v>1.33</v>
      </c>
    </row>
    <row r="257">
      <c r="A257" t="s" s="0">
        <v>1124</v>
      </c>
      <c r="B257" t="s" s="0">
        <v>24</v>
      </c>
      <c r="C257" t="s" s="0">
        <v>1090</v>
      </c>
      <c r="D257" t="s" s="0">
        <v>1125</v>
      </c>
      <c r="E257" t="s" s="0">
        <v>645</v>
      </c>
      <c r="F257" t="s" s="0">
        <v>1126</v>
      </c>
      <c r="G257" t="s" s="0">
        <v>46</v>
      </c>
      <c r="H257" t="s" s="0">
        <v>105</v>
      </c>
      <c r="I257" t="s" s="0">
        <v>181</v>
      </c>
      <c r="J257" t="n" s="2">
        <v>4.8</v>
      </c>
      <c r="K257" t="s">
        <v>33</v>
      </c>
      <c r="L257" t="s">
        <v>33</v>
      </c>
      <c r="M257" s="3">
        <f>IFERROR(K257/J257,0)</f>
      </c>
      <c r="N257" t="s">
        <v>566</v>
      </c>
      <c r="O257" t="s">
        <v>59</v>
      </c>
      <c r="P257" t="s">
        <v>1129</v>
      </c>
      <c r="Q257" t="s">
        <v>33</v>
      </c>
      <c r="R257" t="s">
        <v>1130</v>
      </c>
      <c r="S257" t="s">
        <v>42</v>
      </c>
      <c r="T257" t="n" s="2">
        <v>6.15</v>
      </c>
      <c r="U257" t="s">
        <v>1131</v>
      </c>
      <c r="V257" t="s">
        <v>39</v>
      </c>
      <c r="W257" t="n" s="2">
        <v>1.35</v>
      </c>
    </row>
    <row r="258">
      <c r="A258" t="s" s="0">
        <v>1132</v>
      </c>
      <c r="B258" t="s" s="0">
        <v>24</v>
      </c>
      <c r="C258" t="s" s="0">
        <v>1090</v>
      </c>
      <c r="D258" t="s" s="0">
        <v>1133</v>
      </c>
      <c r="E258" t="s" s="0">
        <v>859</v>
      </c>
      <c r="F258" t="s" s="0">
        <v>1134</v>
      </c>
      <c r="G258" t="s" s="0">
        <v>66</v>
      </c>
      <c r="H258" t="s" s="0">
        <v>209</v>
      </c>
      <c r="I258" t="s" s="0">
        <v>198</v>
      </c>
      <c r="J258" t="n" s="2">
        <v>1.25</v>
      </c>
      <c r="K258" t="n" s="2">
        <v>1.2</v>
      </c>
      <c r="L258" t="n" s="2">
        <v>0.05</v>
      </c>
      <c r="M258" s="3">
        <f>IFERROR(K258/J258,0)</f>
      </c>
      <c r="N258" t="s">
        <v>376</v>
      </c>
      <c r="O258" t="s">
        <v>32</v>
      </c>
      <c r="P258" t="s">
        <v>1135</v>
      </c>
      <c r="Q258" t="s">
        <v>1135</v>
      </c>
      <c r="R258" t="s">
        <v>1136</v>
      </c>
      <c r="S258" t="s">
        <v>32</v>
      </c>
      <c r="T258" t="n" s="2">
        <v>1.7</v>
      </c>
      <c r="U258" t="s">
        <v>752</v>
      </c>
      <c r="V258" t="s">
        <v>1137</v>
      </c>
      <c r="W258" t="n" s="2">
        <v>0.45</v>
      </c>
    </row>
    <row r="259">
      <c r="A259" t="s" s="0">
        <v>1132</v>
      </c>
      <c r="B259" t="s" s="0">
        <v>24</v>
      </c>
      <c r="C259" t="s" s="0">
        <v>1090</v>
      </c>
      <c r="D259" t="s" s="0">
        <v>1133</v>
      </c>
      <c r="E259" t="s" s="0">
        <v>859</v>
      </c>
      <c r="F259" t="s" s="0">
        <v>1134</v>
      </c>
      <c r="G259" t="s" s="0">
        <v>46</v>
      </c>
      <c r="H259" t="s" s="0">
        <v>271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376</v>
      </c>
      <c r="O259" t="s">
        <v>32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1138</v>
      </c>
      <c r="B260" t="s" s="0">
        <v>24</v>
      </c>
      <c r="C260" t="s" s="0">
        <v>1139</v>
      </c>
      <c r="D260" t="s" s="0">
        <v>900</v>
      </c>
      <c r="E260" t="s" s="0">
        <v>362</v>
      </c>
      <c r="F260" t="s" s="0">
        <v>475</v>
      </c>
      <c r="G260" t="s" s="0">
        <v>46</v>
      </c>
      <c r="H260" t="s" s="0">
        <v>105</v>
      </c>
      <c r="I260" t="s" s="0">
        <v>31</v>
      </c>
      <c r="J260" t="n" s="2">
        <v>2.8</v>
      </c>
      <c r="K260" t="s">
        <v>33</v>
      </c>
      <c r="L260" t="s">
        <v>33</v>
      </c>
      <c r="M260" s="3">
        <f>IFERROR(K260/J260,0)</f>
      </c>
      <c r="N260" t="s">
        <v>95</v>
      </c>
      <c r="O260" t="s">
        <v>59</v>
      </c>
      <c r="P260" t="s">
        <v>1140</v>
      </c>
      <c r="Q260" t="s">
        <v>33</v>
      </c>
      <c r="R260" t="s">
        <v>1141</v>
      </c>
      <c r="S260" t="s">
        <v>32</v>
      </c>
      <c r="T260" t="n" s="2">
        <v>3.48</v>
      </c>
      <c r="U260" t="s">
        <v>863</v>
      </c>
      <c r="V260" t="s">
        <v>39</v>
      </c>
      <c r="W260" t="n" s="2">
        <v>0.68</v>
      </c>
    </row>
    <row r="261">
      <c r="A261" t="s" s="0">
        <v>1142</v>
      </c>
      <c r="B261" t="s" s="0">
        <v>24</v>
      </c>
      <c r="C261" t="s" s="0">
        <v>1139</v>
      </c>
      <c r="D261" t="s" s="0">
        <v>1143</v>
      </c>
      <c r="E261" t="s" s="0">
        <v>138</v>
      </c>
      <c r="F261" t="s" s="0">
        <v>1144</v>
      </c>
      <c r="G261" t="s" s="0">
        <v>46</v>
      </c>
      <c r="H261" t="s" s="0">
        <v>864</v>
      </c>
      <c r="I261" t="s" s="0">
        <v>31</v>
      </c>
      <c r="J261" t="n" s="2">
        <v>2.25</v>
      </c>
      <c r="K261" t="n" s="2">
        <v>2.1</v>
      </c>
      <c r="L261" t="n" s="2">
        <v>0.15</v>
      </c>
      <c r="M261" s="3">
        <f>IFERROR(K261/J261,0)</f>
      </c>
      <c r="N261" t="s">
        <v>986</v>
      </c>
      <c r="O261" t="s">
        <v>42</v>
      </c>
      <c r="P261" t="s">
        <v>1145</v>
      </c>
      <c r="Q261" t="s">
        <v>1146</v>
      </c>
      <c r="R261" t="s">
        <v>1147</v>
      </c>
      <c r="S261" t="s">
        <v>32</v>
      </c>
      <c r="T261" t="n" s="2">
        <v>2.96</v>
      </c>
      <c r="U261" t="s">
        <v>1148</v>
      </c>
      <c r="V261" t="s">
        <v>1149</v>
      </c>
      <c r="W261" t="n" s="2">
        <v>0.71</v>
      </c>
    </row>
    <row r="262">
      <c r="A262" t="s" s="0">
        <v>1150</v>
      </c>
      <c r="B262" t="s" s="0">
        <v>24</v>
      </c>
      <c r="C262" t="s" s="0">
        <v>1139</v>
      </c>
      <c r="D262" t="s" s="0">
        <v>1151</v>
      </c>
      <c r="E262" t="s" s="0">
        <v>138</v>
      </c>
      <c r="F262" t="s" s="0">
        <v>1152</v>
      </c>
      <c r="G262" t="s" s="0">
        <v>40</v>
      </c>
      <c r="H262" t="s" s="0">
        <v>663</v>
      </c>
      <c r="I262" t="s" s="0">
        <v>198</v>
      </c>
      <c r="J262" t="n" s="2">
        <v>1.85</v>
      </c>
      <c r="K262" t="s">
        <v>33</v>
      </c>
      <c r="L262" t="s">
        <v>33</v>
      </c>
      <c r="M262" s="3">
        <f>IFERROR(K262/J262,0)</f>
      </c>
      <c r="N262" t="s">
        <v>734</v>
      </c>
      <c r="O262" t="s">
        <v>59</v>
      </c>
      <c r="P262" t="s">
        <v>1153</v>
      </c>
      <c r="Q262" t="s">
        <v>33</v>
      </c>
      <c r="R262" t="s">
        <v>1154</v>
      </c>
      <c r="S262" t="s">
        <v>32</v>
      </c>
      <c r="T262" t="n" s="2">
        <v>2.25</v>
      </c>
      <c r="U262" t="s">
        <v>1155</v>
      </c>
      <c r="V262" t="s">
        <v>39</v>
      </c>
      <c r="W262" t="n" s="2">
        <v>0.4</v>
      </c>
    </row>
    <row r="263">
      <c r="A263" t="s" s="0">
        <v>1150</v>
      </c>
      <c r="B263" t="s" s="0">
        <v>24</v>
      </c>
      <c r="C263" t="s" s="0">
        <v>1139</v>
      </c>
      <c r="D263" t="s" s="0">
        <v>1151</v>
      </c>
      <c r="E263" t="s" s="0">
        <v>138</v>
      </c>
      <c r="F263" t="s" s="0">
        <v>1152</v>
      </c>
      <c r="G263" t="s" s="0">
        <v>46</v>
      </c>
      <c r="H263" t="s" s="0">
        <v>517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734</v>
      </c>
      <c r="O263" t="s">
        <v>59</v>
      </c>
      <c r="P263" t="s">
        <v>1156</v>
      </c>
      <c r="Q263" t="s">
        <v>33</v>
      </c>
      <c r="R263" t="s">
        <v>1157</v>
      </c>
      <c r="S263" t="s">
        <v>42</v>
      </c>
      <c r="T263" t="n" s="2">
        <v>3.2</v>
      </c>
      <c r="U263" t="s">
        <v>1097</v>
      </c>
      <c r="V263" t="s">
        <v>39</v>
      </c>
      <c r="W263" t="n" s="2">
        <v>0.85</v>
      </c>
    </row>
    <row r="264">
      <c r="A264" t="s" s="0">
        <v>1158</v>
      </c>
      <c r="B264" t="s" s="0">
        <v>24</v>
      </c>
      <c r="C264" t="s" s="0">
        <v>1139</v>
      </c>
      <c r="D264" t="s" s="0">
        <v>1159</v>
      </c>
      <c r="E264" t="s" s="0">
        <v>374</v>
      </c>
      <c r="F264" t="s" s="0">
        <v>1160</v>
      </c>
      <c r="G264" t="s" s="0">
        <v>483</v>
      </c>
      <c r="H264" t="s" s="0">
        <v>1161</v>
      </c>
      <c r="I264" t="s" s="0">
        <v>198</v>
      </c>
      <c r="J264" t="n" s="2">
        <v>2.0</v>
      </c>
      <c r="K264" t="n" s="2">
        <v>2.0</v>
      </c>
      <c r="L264" t="n" s="2">
        <v>0.0</v>
      </c>
      <c r="M264" s="3">
        <f>IFERROR(K264/J264,0)</f>
      </c>
      <c r="N264" t="s">
        <v>476</v>
      </c>
      <c r="O264" t="s">
        <v>32</v>
      </c>
      <c r="P264" t="s">
        <v>1162</v>
      </c>
      <c r="Q264" t="s">
        <v>1163</v>
      </c>
      <c r="R264" t="s">
        <v>1164</v>
      </c>
      <c r="S264" t="s">
        <v>32</v>
      </c>
      <c r="T264" t="n" s="2">
        <v>2.43</v>
      </c>
      <c r="U264" t="s">
        <v>1165</v>
      </c>
      <c r="W264" t="n" s="2">
        <v>0.43</v>
      </c>
    </row>
    <row r="265">
      <c r="A265" t="s" s="0">
        <v>1158</v>
      </c>
      <c r="B265" t="s" s="0">
        <v>24</v>
      </c>
      <c r="C265" t="s" s="0">
        <v>1139</v>
      </c>
      <c r="D265" t="s" s="0">
        <v>1159</v>
      </c>
      <c r="E265" t="s" s="0">
        <v>374</v>
      </c>
      <c r="F265" t="s" s="0">
        <v>1160</v>
      </c>
      <c r="G265" t="s" s="0">
        <v>46</v>
      </c>
      <c r="H265" t="s" s="0">
        <v>864</v>
      </c>
      <c r="I265" t="s" s="0">
        <v>31</v>
      </c>
      <c r="J265" t="n" s="2">
        <v>2.4</v>
      </c>
      <c r="K265" t="s">
        <v>33</v>
      </c>
      <c r="L265" t="s">
        <v>33</v>
      </c>
      <c r="M265" s="3">
        <f>IFERROR(K265/J265,0)</f>
      </c>
      <c r="N265" t="s">
        <v>476</v>
      </c>
      <c r="O265" t="s">
        <v>32</v>
      </c>
      <c r="P265" t="s">
        <v>1166</v>
      </c>
      <c r="Q265" t="s">
        <v>33</v>
      </c>
      <c r="R265" t="s">
        <v>1167</v>
      </c>
      <c r="S265" t="s">
        <v>42</v>
      </c>
      <c r="T265" t="n" s="2">
        <v>3.1</v>
      </c>
      <c r="U265" t="s">
        <v>38</v>
      </c>
      <c r="V265" t="s">
        <v>39</v>
      </c>
      <c r="W265" t="n" s="2">
        <v>0.7</v>
      </c>
    </row>
    <row r="266">
      <c r="A266" t="s" s="0">
        <v>1168</v>
      </c>
      <c r="B266" t="s" s="0">
        <v>24</v>
      </c>
      <c r="C266" t="s" s="0">
        <v>1139</v>
      </c>
      <c r="D266" t="s" s="0">
        <v>1169</v>
      </c>
      <c r="E266" t="s" s="0">
        <v>1027</v>
      </c>
      <c r="F266" t="s" s="0">
        <v>1170</v>
      </c>
      <c r="G266" t="s" s="0">
        <v>1161</v>
      </c>
      <c r="H266" t="s" s="0">
        <v>417</v>
      </c>
      <c r="I266" t="s" s="0">
        <v>181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607</v>
      </c>
      <c r="O266" t="s">
        <v>59</v>
      </c>
      <c r="P266" t="s">
        <v>1171</v>
      </c>
      <c r="Q266" t="s">
        <v>33</v>
      </c>
      <c r="R266" t="s">
        <v>1172</v>
      </c>
      <c r="S266" t="s">
        <v>32</v>
      </c>
      <c r="T266" t="n" s="2">
        <v>2.82</v>
      </c>
      <c r="U266" t="s">
        <v>1173</v>
      </c>
      <c r="V266" t="s">
        <v>39</v>
      </c>
      <c r="W266" t="n" s="2">
        <v>-0.08</v>
      </c>
    </row>
    <row r="267">
      <c r="A267" t="s" s="0">
        <v>1168</v>
      </c>
      <c r="B267" t="s" s="0">
        <v>24</v>
      </c>
      <c r="C267" t="s" s="0">
        <v>1139</v>
      </c>
      <c r="D267" t="s" s="0">
        <v>1169</v>
      </c>
      <c r="E267" t="s" s="0">
        <v>1027</v>
      </c>
      <c r="F267" t="s" s="0">
        <v>1170</v>
      </c>
      <c r="G267" t="s" s="0">
        <v>485</v>
      </c>
      <c r="H267" t="s" s="0">
        <v>893</v>
      </c>
      <c r="I267" t="s" s="0">
        <v>181</v>
      </c>
      <c r="J267" t="n" s="2">
        <v>3.2</v>
      </c>
      <c r="K267" t="s">
        <v>33</v>
      </c>
      <c r="L267" t="s">
        <v>33</v>
      </c>
      <c r="M267" s="3">
        <f>IFERROR(K267/J267,0)</f>
      </c>
      <c r="N267" t="s">
        <v>607</v>
      </c>
      <c r="O267" t="s">
        <v>59</v>
      </c>
      <c r="P267" t="s">
        <v>1174</v>
      </c>
      <c r="Q267" t="s">
        <v>33</v>
      </c>
      <c r="R267" t="s">
        <v>1175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1168</v>
      </c>
      <c r="B268" t="s" s="0">
        <v>24</v>
      </c>
      <c r="C268" t="s" s="0">
        <v>1139</v>
      </c>
      <c r="D268" t="s" s="0">
        <v>1169</v>
      </c>
      <c r="E268" t="s" s="0">
        <v>1027</v>
      </c>
      <c r="F268" t="s" s="0">
        <v>1170</v>
      </c>
      <c r="G268" t="s" s="0">
        <v>965</v>
      </c>
      <c r="H268" t="s" s="0">
        <v>1176</v>
      </c>
      <c r="I268" t="s" s="0">
        <v>181</v>
      </c>
      <c r="J268" t="n" s="2">
        <v>4.0</v>
      </c>
      <c r="K268" t="s">
        <v>33</v>
      </c>
      <c r="L268" t="s">
        <v>33</v>
      </c>
      <c r="M268" s="3">
        <f>IFERROR(K268/J268,0)</f>
      </c>
      <c r="N268" t="s">
        <v>607</v>
      </c>
      <c r="O268" t="s">
        <v>59</v>
      </c>
      <c r="P268" t="s">
        <v>1177</v>
      </c>
      <c r="Q268" t="s">
        <v>33</v>
      </c>
      <c r="R268" t="s">
        <v>1178</v>
      </c>
      <c r="S268" t="s">
        <v>35</v>
      </c>
      <c r="U268" t="s">
        <v>39</v>
      </c>
      <c r="V268" t="s">
        <v>39</v>
      </c>
      <c r="W268" t="s">
        <v>39</v>
      </c>
    </row>
    <row r="269">
      <c r="A269" t="s" s="0">
        <v>1179</v>
      </c>
      <c r="B269" t="s" s="0">
        <v>24</v>
      </c>
      <c r="C269" t="s" s="0">
        <v>1180</v>
      </c>
      <c r="D269" t="s" s="0">
        <v>481</v>
      </c>
      <c r="E269" t="s" s="0">
        <v>859</v>
      </c>
      <c r="F269" t="s" s="0">
        <v>1037</v>
      </c>
      <c r="G269" t="s" s="0">
        <v>768</v>
      </c>
      <c r="H269" t="s" s="0">
        <v>1181</v>
      </c>
      <c r="I269" t="s" s="0">
        <v>181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902</v>
      </c>
      <c r="O269" t="s">
        <v>32</v>
      </c>
      <c r="P269" t="s">
        <v>1182</v>
      </c>
      <c r="Q269" t="s">
        <v>33</v>
      </c>
      <c r="R269" t="s">
        <v>1183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1179</v>
      </c>
      <c r="B270" t="s" s="0">
        <v>24</v>
      </c>
      <c r="C270" t="s" s="0">
        <v>1180</v>
      </c>
      <c r="D270" t="s" s="0">
        <v>481</v>
      </c>
      <c r="E270" t="s" s="0">
        <v>859</v>
      </c>
      <c r="F270" t="s" s="0">
        <v>1037</v>
      </c>
      <c r="G270" t="s" s="0">
        <v>879</v>
      </c>
      <c r="H270" t="s" s="0">
        <v>1184</v>
      </c>
      <c r="I270" t="s" s="0">
        <v>181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902</v>
      </c>
      <c r="O270" t="s">
        <v>32</v>
      </c>
      <c r="P270" t="s">
        <v>1051</v>
      </c>
      <c r="Q270" t="s">
        <v>1185</v>
      </c>
      <c r="R270" t="s">
        <v>1186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1179</v>
      </c>
      <c r="B271" t="s" s="0">
        <v>24</v>
      </c>
      <c r="C271" t="s" s="0">
        <v>1180</v>
      </c>
      <c r="D271" t="s" s="0">
        <v>481</v>
      </c>
      <c r="E271" t="s" s="0">
        <v>859</v>
      </c>
      <c r="F271" t="s" s="0">
        <v>1037</v>
      </c>
      <c r="G271" t="s" s="0">
        <v>46</v>
      </c>
      <c r="H271" t="s" s="0">
        <v>152</v>
      </c>
      <c r="I271" t="s" s="0">
        <v>31</v>
      </c>
      <c r="J271" t="n" s="2">
        <v>2.4</v>
      </c>
      <c r="K271" t="s">
        <v>33</v>
      </c>
      <c r="L271" t="s">
        <v>33</v>
      </c>
      <c r="M271" s="3">
        <f>IFERROR(K271/J271,0)</f>
      </c>
      <c r="N271" t="s">
        <v>902</v>
      </c>
      <c r="O271" t="s">
        <v>32</v>
      </c>
      <c r="P271" t="s">
        <v>1187</v>
      </c>
      <c r="Q271" t="s">
        <v>33</v>
      </c>
      <c r="R271" t="s">
        <v>1188</v>
      </c>
      <c r="S271" t="s">
        <v>35</v>
      </c>
      <c r="T271" t="n" s="2">
        <v>2.8</v>
      </c>
      <c r="U271" t="s">
        <v>1189</v>
      </c>
      <c r="V271" t="s">
        <v>39</v>
      </c>
      <c r="W271" t="n" s="2">
        <v>0.4</v>
      </c>
    </row>
    <row r="272">
      <c r="A272" t="s" s="0">
        <v>1179</v>
      </c>
      <c r="B272" t="s" s="0">
        <v>24</v>
      </c>
      <c r="C272" t="s" s="0">
        <v>1180</v>
      </c>
      <c r="D272" t="s" s="0">
        <v>481</v>
      </c>
      <c r="E272" t="s" s="0">
        <v>859</v>
      </c>
      <c r="F272" t="s" s="0">
        <v>1037</v>
      </c>
      <c r="G272" t="s" s="0">
        <v>768</v>
      </c>
      <c r="H272" t="s" s="0">
        <v>1190</v>
      </c>
      <c r="I272" t="s" s="0">
        <v>181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902</v>
      </c>
      <c r="O272" t="s">
        <v>32</v>
      </c>
      <c r="P272" t="s">
        <v>33</v>
      </c>
      <c r="Q272" t="s">
        <v>33</v>
      </c>
      <c r="R272" t="s">
        <v>33</v>
      </c>
      <c r="S272" t="s">
        <v>83</v>
      </c>
      <c r="U272" t="s">
        <v>39</v>
      </c>
      <c r="V272" t="s">
        <v>39</v>
      </c>
      <c r="W272" t="s">
        <v>39</v>
      </c>
    </row>
    <row r="273">
      <c r="A273" t="s" s="0">
        <v>1191</v>
      </c>
      <c r="B273" t="s" s="0">
        <v>24</v>
      </c>
      <c r="C273" t="s" s="0">
        <v>1180</v>
      </c>
      <c r="D273" t="s" s="0">
        <v>1192</v>
      </c>
      <c r="E273" t="s" s="0">
        <v>859</v>
      </c>
      <c r="F273" t="s" s="0">
        <v>1152</v>
      </c>
      <c r="G273" t="s" s="0">
        <v>46</v>
      </c>
      <c r="H273" t="s" s="0">
        <v>152</v>
      </c>
      <c r="I273" t="s" s="0">
        <v>31</v>
      </c>
      <c r="J273" t="n" s="2">
        <v>2.2</v>
      </c>
      <c r="K273" t="s">
        <v>33</v>
      </c>
      <c r="L273" t="s">
        <v>33</v>
      </c>
      <c r="M273" s="3">
        <f>IFERROR(K273/J273,0)</f>
      </c>
      <c r="N273" t="s">
        <v>910</v>
      </c>
      <c r="O273" t="s">
        <v>59</v>
      </c>
      <c r="P273" t="s">
        <v>1193</v>
      </c>
      <c r="Q273" t="s">
        <v>33</v>
      </c>
      <c r="R273" t="s">
        <v>33</v>
      </c>
      <c r="S273" t="s">
        <v>32</v>
      </c>
      <c r="T273" t="n" s="2">
        <v>2.7</v>
      </c>
      <c r="U273" t="s">
        <v>1194</v>
      </c>
      <c r="V273" t="s">
        <v>39</v>
      </c>
      <c r="W273" t="n" s="2">
        <v>0.5</v>
      </c>
    </row>
    <row r="274">
      <c r="A274" t="s" s="0">
        <v>1191</v>
      </c>
      <c r="B274" t="s" s="0">
        <v>24</v>
      </c>
      <c r="C274" t="s" s="0">
        <v>1180</v>
      </c>
      <c r="D274" t="s" s="0">
        <v>1192</v>
      </c>
      <c r="E274" t="s" s="0">
        <v>859</v>
      </c>
      <c r="F274" t="s" s="0">
        <v>1152</v>
      </c>
      <c r="G274" t="s" s="0">
        <v>485</v>
      </c>
      <c r="H274" t="s" s="0">
        <v>818</v>
      </c>
      <c r="I274" t="s" s="0">
        <v>181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910</v>
      </c>
      <c r="O274" t="s">
        <v>59</v>
      </c>
      <c r="P274" t="s">
        <v>33</v>
      </c>
      <c r="Q274" t="s">
        <v>33</v>
      </c>
      <c r="R274" t="s">
        <v>33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1191</v>
      </c>
      <c r="B275" t="s" s="0">
        <v>24</v>
      </c>
      <c r="C275" t="s" s="0">
        <v>1180</v>
      </c>
      <c r="D275" t="s" s="0">
        <v>1192</v>
      </c>
      <c r="E275" t="s" s="0">
        <v>859</v>
      </c>
      <c r="F275" t="s" s="0">
        <v>1152</v>
      </c>
      <c r="G275" t="s" s="0">
        <v>347</v>
      </c>
      <c r="H275" t="s" s="0">
        <v>681</v>
      </c>
      <c r="I275" t="s" s="0">
        <v>181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910</v>
      </c>
      <c r="O275" t="s">
        <v>59</v>
      </c>
      <c r="P275" t="s">
        <v>1195</v>
      </c>
      <c r="Q275" t="s">
        <v>33</v>
      </c>
      <c r="R275" t="s">
        <v>33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1191</v>
      </c>
      <c r="B276" t="s" s="0">
        <v>24</v>
      </c>
      <c r="C276" t="s" s="0">
        <v>1180</v>
      </c>
      <c r="D276" t="s" s="0">
        <v>1192</v>
      </c>
      <c r="E276" t="s" s="0">
        <v>859</v>
      </c>
      <c r="F276" t="s" s="0">
        <v>1152</v>
      </c>
      <c r="G276" t="s" s="0">
        <v>355</v>
      </c>
      <c r="H276" t="s" s="0">
        <v>1196</v>
      </c>
      <c r="I276" t="s" s="0">
        <v>181</v>
      </c>
      <c r="J276" t="n" s="2">
        <v>3.0</v>
      </c>
      <c r="K276" t="s">
        <v>33</v>
      </c>
      <c r="L276" t="s">
        <v>33</v>
      </c>
      <c r="M276" s="3">
        <f>IFERROR(K276/J276,0)</f>
      </c>
      <c r="N276" t="s">
        <v>910</v>
      </c>
      <c r="O276" t="s">
        <v>59</v>
      </c>
      <c r="P276" t="s">
        <v>1197</v>
      </c>
      <c r="Q276" t="s">
        <v>33</v>
      </c>
      <c r="R276" t="s">
        <v>33</v>
      </c>
      <c r="S276" t="s">
        <v>83</v>
      </c>
      <c r="U276" t="s">
        <v>39</v>
      </c>
      <c r="V276" t="s">
        <v>39</v>
      </c>
      <c r="W276" t="s">
        <v>39</v>
      </c>
    </row>
    <row r="277">
      <c r="A277" t="s" s="0">
        <v>1198</v>
      </c>
      <c r="B277" t="s" s="0">
        <v>24</v>
      </c>
      <c r="C277" t="s" s="0">
        <v>1180</v>
      </c>
      <c r="D277" t="s" s="0">
        <v>900</v>
      </c>
      <c r="E277" t="s" s="0">
        <v>872</v>
      </c>
      <c r="F277" t="s" s="0">
        <v>1199</v>
      </c>
      <c r="G277" t="s" s="0">
        <v>46</v>
      </c>
      <c r="H277" t="s" s="0">
        <v>152</v>
      </c>
      <c r="I277" t="s" s="0">
        <v>31</v>
      </c>
      <c r="J277" t="n" s="2">
        <v>2.35</v>
      </c>
      <c r="K277" t="s">
        <v>33</v>
      </c>
      <c r="L277" t="s">
        <v>33</v>
      </c>
      <c r="M277" s="3">
        <f>IFERROR(K277/J277,0)</f>
      </c>
      <c r="N277" t="s">
        <v>404</v>
      </c>
      <c r="O277" t="s">
        <v>59</v>
      </c>
      <c r="P277" t="s">
        <v>1200</v>
      </c>
      <c r="Q277" t="s">
        <v>33</v>
      </c>
      <c r="R277" t="s">
        <v>1201</v>
      </c>
      <c r="S277" t="s">
        <v>32</v>
      </c>
      <c r="T277" t="n" s="2">
        <v>2.8</v>
      </c>
      <c r="U277" t="s">
        <v>1202</v>
      </c>
      <c r="V277" t="s">
        <v>39</v>
      </c>
      <c r="W277" t="n" s="2">
        <v>0.45</v>
      </c>
    </row>
    <row r="278">
      <c r="A278" t="s" s="0">
        <v>1198</v>
      </c>
      <c r="B278" t="s" s="0">
        <v>24</v>
      </c>
      <c r="C278" t="s" s="0">
        <v>1180</v>
      </c>
      <c r="D278" t="s" s="0">
        <v>900</v>
      </c>
      <c r="E278" t="s" s="0">
        <v>872</v>
      </c>
      <c r="F278" t="s" s="0">
        <v>1199</v>
      </c>
      <c r="G278" t="s" s="0">
        <v>1203</v>
      </c>
      <c r="H278" t="s" s="0">
        <v>818</v>
      </c>
      <c r="I278" t="s" s="0">
        <v>31</v>
      </c>
      <c r="J278" t="n" s="2">
        <v>2.7</v>
      </c>
      <c r="K278" t="s">
        <v>33</v>
      </c>
      <c r="L278" t="s">
        <v>33</v>
      </c>
      <c r="M278" s="3">
        <f>IFERROR(K278/J278,0)</f>
      </c>
      <c r="N278" t="s">
        <v>404</v>
      </c>
      <c r="O278" t="s">
        <v>59</v>
      </c>
      <c r="P278" t="s">
        <v>1204</v>
      </c>
      <c r="Q278" t="s">
        <v>33</v>
      </c>
      <c r="R278" t="s">
        <v>1205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1198</v>
      </c>
      <c r="B279" t="s" s="0">
        <v>24</v>
      </c>
      <c r="C279" t="s" s="0">
        <v>1180</v>
      </c>
      <c r="D279" t="s" s="0">
        <v>900</v>
      </c>
      <c r="E279" t="s" s="0">
        <v>872</v>
      </c>
      <c r="F279" t="s" s="0">
        <v>1199</v>
      </c>
      <c r="G279" t="s" s="0">
        <v>347</v>
      </c>
      <c r="H279" t="s" s="0">
        <v>433</v>
      </c>
      <c r="I279" t="s" s="0">
        <v>181</v>
      </c>
      <c r="J279" t="n" s="2">
        <v>3.2</v>
      </c>
      <c r="K279" t="s">
        <v>33</v>
      </c>
      <c r="L279" t="s">
        <v>33</v>
      </c>
      <c r="M279" s="3">
        <f>IFERROR(K279/J279,0)</f>
      </c>
      <c r="N279" t="s">
        <v>404</v>
      </c>
      <c r="O279" t="s">
        <v>59</v>
      </c>
      <c r="P279" t="s">
        <v>1206</v>
      </c>
      <c r="Q279" t="s">
        <v>33</v>
      </c>
      <c r="R279" t="s">
        <v>1207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1198</v>
      </c>
      <c r="B280" t="s" s="0">
        <v>24</v>
      </c>
      <c r="C280" t="s" s="0">
        <v>1180</v>
      </c>
      <c r="D280" t="s" s="0">
        <v>900</v>
      </c>
      <c r="E280" t="s" s="0">
        <v>872</v>
      </c>
      <c r="F280" t="s" s="0">
        <v>1199</v>
      </c>
      <c r="G280" t="s" s="0">
        <v>965</v>
      </c>
      <c r="H280" t="s" s="0">
        <v>1176</v>
      </c>
      <c r="I280" t="s" s="0">
        <v>181</v>
      </c>
      <c r="J280" t="n" s="2">
        <v>3.55</v>
      </c>
      <c r="K280" t="s">
        <v>33</v>
      </c>
      <c r="L280" t="s">
        <v>33</v>
      </c>
      <c r="M280" s="3">
        <f>IFERROR(K280/J280,0)</f>
      </c>
      <c r="N280" t="s">
        <v>404</v>
      </c>
      <c r="O280" t="s">
        <v>59</v>
      </c>
      <c r="P280" t="s">
        <v>1208</v>
      </c>
      <c r="Q280" t="s">
        <v>33</v>
      </c>
      <c r="R280" t="s">
        <v>1209</v>
      </c>
      <c r="S280" t="s">
        <v>83</v>
      </c>
      <c r="U280" t="s">
        <v>39</v>
      </c>
      <c r="V280" t="s">
        <v>39</v>
      </c>
      <c r="W280" t="s">
        <v>39</v>
      </c>
    </row>
    <row r="281">
      <c r="A281" t="s" s="0">
        <v>1210</v>
      </c>
      <c r="B281" t="s" s="0">
        <v>24</v>
      </c>
      <c r="C281" t="s" s="0">
        <v>1180</v>
      </c>
      <c r="D281" t="s" s="0">
        <v>1211</v>
      </c>
      <c r="E281" t="s" s="0">
        <v>859</v>
      </c>
      <c r="F281" t="s" s="0">
        <v>1212</v>
      </c>
      <c r="G281" t="s" s="0">
        <v>46</v>
      </c>
      <c r="H281" t="s" s="0">
        <v>892</v>
      </c>
      <c r="I281" t="s" s="0">
        <v>31</v>
      </c>
      <c r="J281" t="n" s="2">
        <v>1.85</v>
      </c>
      <c r="K281" t="s">
        <v>33</v>
      </c>
      <c r="L281" t="s">
        <v>33</v>
      </c>
      <c r="M281" s="3">
        <f>IFERROR(K281/J281,0)</f>
      </c>
      <c r="N281" t="s">
        <v>88</v>
      </c>
      <c r="O281" t="s">
        <v>59</v>
      </c>
      <c r="P281" t="s">
        <v>1213</v>
      </c>
      <c r="Q281" t="s">
        <v>33</v>
      </c>
      <c r="R281" t="s">
        <v>33</v>
      </c>
      <c r="S281" t="s">
        <v>32</v>
      </c>
      <c r="T281" t="n" s="2">
        <v>2.5</v>
      </c>
      <c r="U281" t="s">
        <v>926</v>
      </c>
      <c r="V281" t="s">
        <v>39</v>
      </c>
      <c r="W281" t="n" s="2">
        <v>0.65</v>
      </c>
    </row>
    <row r="282">
      <c r="A282" t="s" s="0">
        <v>1214</v>
      </c>
      <c r="B282" t="s" s="0">
        <v>24</v>
      </c>
      <c r="C282" t="s" s="0">
        <v>1180</v>
      </c>
      <c r="D282" t="s" s="0">
        <v>1215</v>
      </c>
      <c r="E282" t="s" s="0">
        <v>859</v>
      </c>
      <c r="F282" t="s" s="0">
        <v>1216</v>
      </c>
      <c r="G282" t="s" s="0">
        <v>46</v>
      </c>
      <c r="H282" t="s" s="0">
        <v>1217</v>
      </c>
      <c r="I282" t="s" s="0">
        <v>198</v>
      </c>
      <c r="J282" t="n" s="2">
        <v>1.7</v>
      </c>
      <c r="K282" t="s">
        <v>33</v>
      </c>
      <c r="L282" t="s">
        <v>33</v>
      </c>
      <c r="M282" s="3">
        <f>IFERROR(K282/J282,0)</f>
      </c>
      <c r="N282" t="s">
        <v>902</v>
      </c>
      <c r="O282" t="s">
        <v>59</v>
      </c>
      <c r="P282" t="s">
        <v>1218</v>
      </c>
      <c r="Q282" t="s">
        <v>33</v>
      </c>
      <c r="R282" t="s">
        <v>33</v>
      </c>
      <c r="S282" t="s">
        <v>32</v>
      </c>
      <c r="T282" t="n" s="2">
        <v>2.425</v>
      </c>
      <c r="U282" t="s">
        <v>1219</v>
      </c>
      <c r="V282" t="s">
        <v>39</v>
      </c>
      <c r="W282" t="n" s="2">
        <v>0.73</v>
      </c>
    </row>
    <row r="283">
      <c r="A283" t="s" s="0">
        <v>1214</v>
      </c>
      <c r="B283" t="s" s="0">
        <v>24</v>
      </c>
      <c r="C283" t="s" s="0">
        <v>1180</v>
      </c>
      <c r="D283" t="s" s="0">
        <v>1215</v>
      </c>
      <c r="E283" t="s" s="0">
        <v>859</v>
      </c>
      <c r="F283" t="s" s="0">
        <v>1216</v>
      </c>
      <c r="G283" t="s" s="0">
        <v>46</v>
      </c>
      <c r="H283" t="s" s="0">
        <v>1220</v>
      </c>
      <c r="I283" t="s" s="0">
        <v>198</v>
      </c>
      <c r="J283" t="n" s="2">
        <v>1.65</v>
      </c>
      <c r="K283" t="s">
        <v>33</v>
      </c>
      <c r="L283" t="s">
        <v>33</v>
      </c>
      <c r="M283" s="3">
        <f>IFERROR(K283/J283,0)</f>
      </c>
      <c r="N283" t="s">
        <v>902</v>
      </c>
      <c r="O283" t="s">
        <v>59</v>
      </c>
      <c r="P283" t="s">
        <v>1221</v>
      </c>
      <c r="Q283" t="s">
        <v>33</v>
      </c>
      <c r="R283" t="s">
        <v>1222</v>
      </c>
      <c r="S283" t="s">
        <v>42</v>
      </c>
      <c r="T283" t="n" s="2">
        <v>2.425</v>
      </c>
      <c r="U283" t="s">
        <v>1223</v>
      </c>
      <c r="V283" t="s">
        <v>39</v>
      </c>
      <c r="W283" t="n" s="2">
        <v>0.78</v>
      </c>
    </row>
    <row r="284">
      <c r="A284" t="s" s="0">
        <v>1224</v>
      </c>
      <c r="B284" t="s" s="0">
        <v>24</v>
      </c>
      <c r="C284" t="s" s="0">
        <v>1180</v>
      </c>
      <c r="D284" t="s" s="0">
        <v>1225</v>
      </c>
      <c r="E284" t="s" s="0">
        <v>859</v>
      </c>
      <c r="F284" t="s" s="0">
        <v>1226</v>
      </c>
      <c r="G284" t="s" s="0">
        <v>46</v>
      </c>
      <c r="H284" t="s" s="0">
        <v>179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95</v>
      </c>
      <c r="O284" t="s">
        <v>59</v>
      </c>
      <c r="P284" t="s">
        <v>1227</v>
      </c>
      <c r="Q284" t="s">
        <v>33</v>
      </c>
      <c r="R284" t="s">
        <v>1228</v>
      </c>
      <c r="S284" t="s">
        <v>32</v>
      </c>
      <c r="T284" t="n" s="2">
        <v>2.3</v>
      </c>
      <c r="U284" t="s">
        <v>835</v>
      </c>
      <c r="V284" t="s">
        <v>39</v>
      </c>
      <c r="W284" t="n" s="2">
        <v>0.55</v>
      </c>
    </row>
    <row r="285">
      <c r="A285" t="s" s="0">
        <v>1224</v>
      </c>
      <c r="B285" t="s" s="0">
        <v>24</v>
      </c>
      <c r="C285" t="s" s="0">
        <v>1180</v>
      </c>
      <c r="D285" t="s" s="0">
        <v>1225</v>
      </c>
      <c r="E285" t="s" s="0">
        <v>859</v>
      </c>
      <c r="F285" t="s" s="0">
        <v>1226</v>
      </c>
      <c r="G285" t="s" s="0">
        <v>273</v>
      </c>
      <c r="H285" t="s" s="0">
        <v>1229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95</v>
      </c>
      <c r="O285" t="s">
        <v>59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1224</v>
      </c>
      <c r="B286" t="s" s="0">
        <v>24</v>
      </c>
      <c r="C286" t="s" s="0">
        <v>1180</v>
      </c>
      <c r="D286" t="s" s="0">
        <v>1225</v>
      </c>
      <c r="E286" t="s" s="0">
        <v>859</v>
      </c>
      <c r="F286" t="s" s="0">
        <v>1226</v>
      </c>
      <c r="G286" t="s" s="0">
        <v>46</v>
      </c>
      <c r="H286" t="s" s="0">
        <v>179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95</v>
      </c>
      <c r="O286" t="s">
        <v>59</v>
      </c>
      <c r="P286" t="s">
        <v>1227</v>
      </c>
      <c r="Q286" t="s">
        <v>33</v>
      </c>
      <c r="R286" t="s">
        <v>1228</v>
      </c>
      <c r="S286" t="s">
        <v>35</v>
      </c>
      <c r="T286" t="n" s="2">
        <v>2.3</v>
      </c>
      <c r="U286" t="s">
        <v>835</v>
      </c>
      <c r="V286" t="s">
        <v>39</v>
      </c>
      <c r="W286" t="n" s="2">
        <v>0.55</v>
      </c>
    </row>
    <row r="287">
      <c r="A287" t="s" s="0">
        <v>1230</v>
      </c>
      <c r="B287" t="s" s="0">
        <v>24</v>
      </c>
      <c r="C287" t="s" s="0">
        <v>1180</v>
      </c>
      <c r="D287" t="s" s="0">
        <v>1231</v>
      </c>
      <c r="E287" t="s" s="0">
        <v>859</v>
      </c>
      <c r="F287" t="s" s="0">
        <v>1226</v>
      </c>
      <c r="G287" t="s" s="0">
        <v>733</v>
      </c>
      <c r="H287" t="s" s="0">
        <v>648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35</v>
      </c>
      <c r="O287" t="s">
        <v>59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1230</v>
      </c>
      <c r="B288" t="s" s="0">
        <v>24</v>
      </c>
      <c r="C288" t="s" s="0">
        <v>1180</v>
      </c>
      <c r="D288" t="s" s="0">
        <v>1231</v>
      </c>
      <c r="E288" t="s" s="0">
        <v>859</v>
      </c>
      <c r="F288" t="s" s="0">
        <v>1226</v>
      </c>
      <c r="G288" t="s" s="0">
        <v>46</v>
      </c>
      <c r="H288" t="s" s="0">
        <v>864</v>
      </c>
      <c r="I288" t="s" s="0">
        <v>181</v>
      </c>
      <c r="J288" t="n" s="2">
        <v>1.8</v>
      </c>
      <c r="K288" t="s">
        <v>33</v>
      </c>
      <c r="L288" t="s">
        <v>33</v>
      </c>
      <c r="M288" s="3">
        <f>IFERROR(K288/J288,0)</f>
      </c>
      <c r="N288" t="s">
        <v>35</v>
      </c>
      <c r="O288" t="s">
        <v>59</v>
      </c>
      <c r="P288" t="s">
        <v>1232</v>
      </c>
      <c r="Q288" t="s">
        <v>33</v>
      </c>
      <c r="R288" t="s">
        <v>33</v>
      </c>
      <c r="S288" t="s">
        <v>42</v>
      </c>
      <c r="T288" t="n" s="2">
        <v>2.38</v>
      </c>
      <c r="U288" t="s">
        <v>1233</v>
      </c>
      <c r="V288" t="s">
        <v>39</v>
      </c>
      <c r="W288" t="n" s="2">
        <v>0.58</v>
      </c>
    </row>
    <row r="289">
      <c r="A289" t="s" s="0">
        <v>1234</v>
      </c>
      <c r="B289" t="s" s="0">
        <v>24</v>
      </c>
      <c r="C289" t="s" s="0">
        <v>1180</v>
      </c>
      <c r="D289" t="s" s="0">
        <v>1235</v>
      </c>
      <c r="E289" t="s" s="0">
        <v>859</v>
      </c>
      <c r="F289" t="s" s="0">
        <v>1212</v>
      </c>
      <c r="G289" t="s" s="0">
        <v>46</v>
      </c>
      <c r="H289" t="s" s="0">
        <v>152</v>
      </c>
      <c r="I289" t="s" s="0">
        <v>198</v>
      </c>
      <c r="J289" t="n" s="2">
        <v>1.65</v>
      </c>
      <c r="K289" t="s">
        <v>33</v>
      </c>
      <c r="L289" t="s">
        <v>33</v>
      </c>
      <c r="M289" s="3">
        <f>IFERROR(K289/J289,0)</f>
      </c>
      <c r="N289" t="s">
        <v>95</v>
      </c>
      <c r="O289" t="s">
        <v>59</v>
      </c>
      <c r="P289" t="s">
        <v>454</v>
      </c>
      <c r="Q289" t="s">
        <v>33</v>
      </c>
      <c r="R289" t="s">
        <v>33</v>
      </c>
      <c r="S289" t="s">
        <v>32</v>
      </c>
      <c r="T289" t="n" s="2">
        <v>2.0</v>
      </c>
      <c r="U289" t="s">
        <v>1236</v>
      </c>
      <c r="V289" t="s">
        <v>39</v>
      </c>
      <c r="W289" t="n" s="2">
        <v>0.35</v>
      </c>
    </row>
    <row r="290">
      <c r="A290" t="s" s="0">
        <v>1237</v>
      </c>
      <c r="B290" t="s" s="0">
        <v>24</v>
      </c>
      <c r="C290" t="s" s="0">
        <v>1180</v>
      </c>
      <c r="D290" t="s" s="0">
        <v>1238</v>
      </c>
      <c r="E290" t="s" s="0">
        <v>1239</v>
      </c>
      <c r="F290" t="s" s="0">
        <v>1240</v>
      </c>
      <c r="G290" t="s" s="0">
        <v>192</v>
      </c>
      <c r="H290" t="s" s="0">
        <v>40</v>
      </c>
      <c r="I290" t="s" s="0">
        <v>391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287</v>
      </c>
      <c r="O290" t="s">
        <v>59</v>
      </c>
      <c r="P290" t="s">
        <v>1241</v>
      </c>
      <c r="Q290" t="s">
        <v>33</v>
      </c>
      <c r="R290" t="s">
        <v>1242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1237</v>
      </c>
      <c r="B291" t="s" s="0">
        <v>24</v>
      </c>
      <c r="C291" t="s" s="0">
        <v>1180</v>
      </c>
      <c r="D291" t="s" s="0">
        <v>1238</v>
      </c>
      <c r="E291" t="s" s="0">
        <v>1239</v>
      </c>
      <c r="F291" t="s" s="0">
        <v>1240</v>
      </c>
      <c r="G291" t="s" s="0">
        <v>452</v>
      </c>
      <c r="H291" t="s" s="0">
        <v>958</v>
      </c>
      <c r="I291" t="s" s="0">
        <v>391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287</v>
      </c>
      <c r="O291" t="s">
        <v>59</v>
      </c>
      <c r="P291" t="s">
        <v>33</v>
      </c>
      <c r="Q291" t="s">
        <v>33</v>
      </c>
      <c r="R291" t="s">
        <v>33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1237</v>
      </c>
      <c r="B292" t="s" s="0">
        <v>24</v>
      </c>
      <c r="C292" t="s" s="0">
        <v>1180</v>
      </c>
      <c r="D292" t="s" s="0">
        <v>1238</v>
      </c>
      <c r="E292" t="s" s="0">
        <v>1239</v>
      </c>
      <c r="F292" t="s" s="0">
        <v>1240</v>
      </c>
      <c r="G292" t="s" s="0">
        <v>66</v>
      </c>
      <c r="H292" t="s" s="0">
        <v>1243</v>
      </c>
      <c r="I292" t="s" s="0">
        <v>443</v>
      </c>
      <c r="J292" t="n" s="2">
        <v>0.8</v>
      </c>
      <c r="K292" t="s">
        <v>33</v>
      </c>
      <c r="L292" t="s">
        <v>33</v>
      </c>
      <c r="M292" s="3">
        <f>IFERROR(K292/J292,0)</f>
      </c>
      <c r="N292" t="s">
        <v>287</v>
      </c>
      <c r="O292" t="s">
        <v>59</v>
      </c>
      <c r="P292" t="s">
        <v>1244</v>
      </c>
      <c r="Q292" t="s">
        <v>33</v>
      </c>
      <c r="R292" t="s">
        <v>1245</v>
      </c>
      <c r="S292" t="s">
        <v>35</v>
      </c>
      <c r="T292" t="n" s="2">
        <v>1.2</v>
      </c>
      <c r="U292" t="s">
        <v>448</v>
      </c>
      <c r="V292" t="s">
        <v>39</v>
      </c>
      <c r="W292" t="n" s="2">
        <v>0.4</v>
      </c>
    </row>
    <row r="293">
      <c r="A293" t="s" s="0">
        <v>1237</v>
      </c>
      <c r="B293" t="s" s="0">
        <v>24</v>
      </c>
      <c r="C293" t="s" s="0">
        <v>1180</v>
      </c>
      <c r="D293" t="s" s="0">
        <v>1238</v>
      </c>
      <c r="E293" t="s" s="0">
        <v>1239</v>
      </c>
      <c r="F293" t="s" s="0">
        <v>1240</v>
      </c>
      <c r="G293" t="s" s="0">
        <v>46</v>
      </c>
      <c r="H293" t="s" s="0">
        <v>1217</v>
      </c>
      <c r="I293" t="s" s="0">
        <v>31</v>
      </c>
      <c r="J293" t="n" s="2">
        <v>1.65</v>
      </c>
      <c r="K293" t="s">
        <v>33</v>
      </c>
      <c r="L293" t="s">
        <v>33</v>
      </c>
      <c r="M293" s="3">
        <f>IFERROR(K293/J293,0)</f>
      </c>
      <c r="N293" t="s">
        <v>287</v>
      </c>
      <c r="O293" t="s">
        <v>59</v>
      </c>
      <c r="P293" t="s">
        <v>1246</v>
      </c>
      <c r="Q293" t="s">
        <v>33</v>
      </c>
      <c r="R293" t="s">
        <v>1247</v>
      </c>
      <c r="S293" t="s">
        <v>83</v>
      </c>
      <c r="T293" t="n" s="2">
        <v>1.9</v>
      </c>
      <c r="U293" t="s">
        <v>758</v>
      </c>
      <c r="V293" t="s">
        <v>39</v>
      </c>
      <c r="W293" t="n" s="2">
        <v>0.25</v>
      </c>
    </row>
    <row r="294">
      <c r="A294" t="s" s="0">
        <v>1237</v>
      </c>
      <c r="B294" t="s" s="0">
        <v>24</v>
      </c>
      <c r="C294" t="s" s="0">
        <v>1180</v>
      </c>
      <c r="D294" t="s" s="0">
        <v>1238</v>
      </c>
      <c r="E294" t="s" s="0">
        <v>1239</v>
      </c>
      <c r="F294" t="s" s="0">
        <v>1240</v>
      </c>
      <c r="G294" t="s" s="0">
        <v>46</v>
      </c>
      <c r="H294" t="s" s="0">
        <v>517</v>
      </c>
      <c r="I294" t="s" s="0">
        <v>31</v>
      </c>
      <c r="J294" t="n" s="2">
        <v>1.75</v>
      </c>
      <c r="K294" t="s">
        <v>33</v>
      </c>
      <c r="L294" t="s">
        <v>33</v>
      </c>
      <c r="M294" s="3">
        <f>IFERROR(K294/J294,0)</f>
      </c>
      <c r="N294" t="s">
        <v>287</v>
      </c>
      <c r="O294" t="s">
        <v>59</v>
      </c>
      <c r="P294" t="s">
        <v>1248</v>
      </c>
      <c r="Q294" t="s">
        <v>33</v>
      </c>
      <c r="R294" t="s">
        <v>1249</v>
      </c>
      <c r="S294" t="s">
        <v>88</v>
      </c>
      <c r="T294" t="n" s="2">
        <v>1.9</v>
      </c>
      <c r="U294" t="s">
        <v>1250</v>
      </c>
      <c r="V294" t="s">
        <v>39</v>
      </c>
      <c r="W294" t="n" s="2">
        <v>0.15</v>
      </c>
    </row>
    <row r="295">
      <c r="A295" t="s" s="0">
        <v>1237</v>
      </c>
      <c r="B295" t="s" s="0">
        <v>24</v>
      </c>
      <c r="C295" t="s" s="0">
        <v>1180</v>
      </c>
      <c r="D295" t="s" s="0">
        <v>1238</v>
      </c>
      <c r="E295" t="s" s="0">
        <v>1239</v>
      </c>
      <c r="F295" t="s" s="0">
        <v>1240</v>
      </c>
      <c r="G295" t="s" s="0">
        <v>818</v>
      </c>
      <c r="H295" t="s" s="0">
        <v>1251</v>
      </c>
      <c r="I295" t="s" s="0">
        <v>181</v>
      </c>
      <c r="J295" t="n" s="2">
        <v>2.2</v>
      </c>
      <c r="K295" t="s">
        <v>33</v>
      </c>
      <c r="L295" t="s">
        <v>33</v>
      </c>
      <c r="M295" s="3">
        <f>IFERROR(K295/J295,0)</f>
      </c>
      <c r="N295" t="s">
        <v>287</v>
      </c>
      <c r="O295" t="s">
        <v>59</v>
      </c>
      <c r="P295" t="s">
        <v>1252</v>
      </c>
      <c r="Q295" t="s">
        <v>33</v>
      </c>
      <c r="R295" t="s">
        <v>1253</v>
      </c>
      <c r="S295" t="s">
        <v>93</v>
      </c>
      <c r="U295" t="s">
        <v>39</v>
      </c>
      <c r="V295" t="s">
        <v>39</v>
      </c>
      <c r="W295" t="s">
        <v>39</v>
      </c>
    </row>
    <row r="296">
      <c r="A296" t="s" s="0">
        <v>1237</v>
      </c>
      <c r="B296" t="s" s="0">
        <v>24</v>
      </c>
      <c r="C296" t="s" s="0">
        <v>1180</v>
      </c>
      <c r="D296" t="s" s="0">
        <v>1238</v>
      </c>
      <c r="E296" t="s" s="0">
        <v>1239</v>
      </c>
      <c r="F296" t="s" s="0">
        <v>1240</v>
      </c>
      <c r="G296" t="s" s="0">
        <v>452</v>
      </c>
      <c r="H296" t="s" s="0">
        <v>1254</v>
      </c>
      <c r="I296" t="s" s="0">
        <v>391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287</v>
      </c>
      <c r="O296" t="s">
        <v>59</v>
      </c>
      <c r="P296" t="s">
        <v>33</v>
      </c>
      <c r="Q296" t="s">
        <v>33</v>
      </c>
      <c r="R296" t="s">
        <v>33</v>
      </c>
      <c r="S296" t="s">
        <v>95</v>
      </c>
      <c r="U296" t="s">
        <v>39</v>
      </c>
      <c r="V296" t="s">
        <v>39</v>
      </c>
      <c r="W296" t="s">
        <v>39</v>
      </c>
    </row>
    <row r="297">
      <c r="A297" t="s" s="0">
        <v>1237</v>
      </c>
      <c r="B297" t="s" s="0">
        <v>24</v>
      </c>
      <c r="C297" t="s" s="0">
        <v>1180</v>
      </c>
      <c r="D297" t="s" s="0">
        <v>1238</v>
      </c>
      <c r="E297" t="s" s="0">
        <v>1239</v>
      </c>
      <c r="F297" t="s" s="0">
        <v>1240</v>
      </c>
      <c r="G297" t="s" s="0">
        <v>66</v>
      </c>
      <c r="H297" t="s" s="0">
        <v>1255</v>
      </c>
      <c r="I297" t="s" s="0">
        <v>391</v>
      </c>
      <c r="J297" t="n" s="2">
        <v>0.75</v>
      </c>
      <c r="K297" t="s">
        <v>33</v>
      </c>
      <c r="L297" t="s">
        <v>33</v>
      </c>
      <c r="M297" s="3">
        <f>IFERROR(K297/J297,0)</f>
      </c>
      <c r="N297" t="s">
        <v>287</v>
      </c>
      <c r="O297" t="s">
        <v>59</v>
      </c>
      <c r="P297" t="s">
        <v>1256</v>
      </c>
      <c r="Q297" t="s">
        <v>33</v>
      </c>
      <c r="R297" t="s">
        <v>1257</v>
      </c>
      <c r="S297" t="s">
        <v>100</v>
      </c>
      <c r="T297" t="n" s="2">
        <v>1.2</v>
      </c>
      <c r="U297" t="s">
        <v>81</v>
      </c>
      <c r="V297" t="s">
        <v>39</v>
      </c>
      <c r="W297" t="n" s="2">
        <v>0.45</v>
      </c>
    </row>
    <row r="298">
      <c r="A298" t="s" s="0">
        <v>1237</v>
      </c>
      <c r="B298" t="s" s="0">
        <v>24</v>
      </c>
      <c r="C298" t="s" s="0">
        <v>1180</v>
      </c>
      <c r="D298" t="s" s="0">
        <v>1238</v>
      </c>
      <c r="E298" t="s" s="0">
        <v>1239</v>
      </c>
      <c r="F298" t="s" s="0">
        <v>1240</v>
      </c>
      <c r="G298" t="s" s="0">
        <v>46</v>
      </c>
      <c r="H298" t="s" s="0">
        <v>1220</v>
      </c>
      <c r="I298" t="s" s="0">
        <v>31</v>
      </c>
      <c r="J298" t="n" s="2">
        <v>1.6</v>
      </c>
      <c r="K298" t="s">
        <v>33</v>
      </c>
      <c r="L298" t="s">
        <v>33</v>
      </c>
      <c r="M298" s="3">
        <f>IFERROR(K298/J298,0)</f>
      </c>
      <c r="N298" t="s">
        <v>287</v>
      </c>
      <c r="O298" t="s">
        <v>59</v>
      </c>
      <c r="P298" t="s">
        <v>1258</v>
      </c>
      <c r="Q298" t="s">
        <v>33</v>
      </c>
      <c r="R298" t="s">
        <v>1259</v>
      </c>
      <c r="S298" t="s">
        <v>910</v>
      </c>
      <c r="T298" t="n" s="2">
        <v>1.9</v>
      </c>
      <c r="U298" t="s">
        <v>1260</v>
      </c>
      <c r="V298" t="s">
        <v>39</v>
      </c>
      <c r="W298" t="n" s="2">
        <v>0.3</v>
      </c>
    </row>
    <row r="299">
      <c r="A299" t="s" s="0">
        <v>1261</v>
      </c>
      <c r="B299" t="s" s="0">
        <v>24</v>
      </c>
      <c r="C299" t="s" s="0">
        <v>1262</v>
      </c>
      <c r="D299" t="s" s="0">
        <v>1263</v>
      </c>
      <c r="E299" t="s" s="0">
        <v>65</v>
      </c>
      <c r="F299" t="s" s="0">
        <v>1264</v>
      </c>
      <c r="G299" t="s" s="0">
        <v>790</v>
      </c>
      <c r="H299" t="s" s="0">
        <v>311</v>
      </c>
      <c r="I299" t="s" s="0">
        <v>181</v>
      </c>
      <c r="J299" t="n" s="2">
        <v>3.25</v>
      </c>
      <c r="K299" t="n" s="2">
        <v>2.55</v>
      </c>
      <c r="L299" t="n" s="2">
        <v>0.7</v>
      </c>
      <c r="M299" s="3">
        <f>IFERROR(K299/J299,0)</f>
      </c>
      <c r="N299" t="s">
        <v>531</v>
      </c>
      <c r="O299" t="s">
        <v>32</v>
      </c>
      <c r="P299" t="s">
        <v>1265</v>
      </c>
      <c r="Q299" t="s">
        <v>1266</v>
      </c>
      <c r="R299" t="s">
        <v>1267</v>
      </c>
      <c r="S299" t="s">
        <v>32</v>
      </c>
      <c r="T299" t="n" s="2">
        <v>4.8</v>
      </c>
      <c r="U299" t="s">
        <v>1268</v>
      </c>
      <c r="V299" t="s">
        <v>1269</v>
      </c>
      <c r="W299" t="n" s="2">
        <v>1.55</v>
      </c>
    </row>
    <row r="300">
      <c r="A300" t="s" s="0">
        <v>1261</v>
      </c>
      <c r="B300" t="s" s="0">
        <v>24</v>
      </c>
      <c r="C300" t="s" s="0">
        <v>1262</v>
      </c>
      <c r="D300" t="s" s="0">
        <v>1263</v>
      </c>
      <c r="E300" t="s" s="0">
        <v>65</v>
      </c>
      <c r="F300" t="s" s="0">
        <v>1264</v>
      </c>
      <c r="G300" t="s" s="0">
        <v>46</v>
      </c>
      <c r="H300" t="s" s="0">
        <v>428</v>
      </c>
      <c r="I300" t="s" s="0">
        <v>181</v>
      </c>
      <c r="J300" t="n" s="2">
        <v>3.5</v>
      </c>
      <c r="K300" t="s">
        <v>33</v>
      </c>
      <c r="L300" t="s">
        <v>33</v>
      </c>
      <c r="M300" s="3">
        <f>IFERROR(K300/J300,0)</f>
      </c>
      <c r="N300" t="s">
        <v>531</v>
      </c>
      <c r="O300" t="s">
        <v>32</v>
      </c>
      <c r="P300" t="s">
        <v>1270</v>
      </c>
      <c r="Q300" t="s">
        <v>33</v>
      </c>
      <c r="R300" t="s">
        <v>1271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1272</v>
      </c>
      <c r="B301" t="s" s="0">
        <v>24</v>
      </c>
      <c r="C301" t="s" s="0">
        <v>1262</v>
      </c>
      <c r="D301" t="s" s="0">
        <v>1273</v>
      </c>
      <c r="E301" t="s" s="0">
        <v>645</v>
      </c>
      <c r="F301" t="s" s="0">
        <v>1274</v>
      </c>
      <c r="G301" t="s" s="0">
        <v>66</v>
      </c>
      <c r="H301" t="s" s="0">
        <v>582</v>
      </c>
      <c r="I301" t="s" s="0">
        <v>31</v>
      </c>
      <c r="J301" t="n" s="2">
        <v>3.1</v>
      </c>
      <c r="K301" t="s">
        <v>33</v>
      </c>
      <c r="L301" t="s">
        <v>33</v>
      </c>
      <c r="M301" s="3">
        <f>IFERROR(K301/J301,0)</f>
      </c>
      <c r="N301" t="s">
        <v>651</v>
      </c>
      <c r="O301" t="s">
        <v>32</v>
      </c>
      <c r="P301" t="s">
        <v>1275</v>
      </c>
      <c r="Q301" t="s">
        <v>33</v>
      </c>
      <c r="R301" t="s">
        <v>1276</v>
      </c>
      <c r="S301" t="s">
        <v>32</v>
      </c>
      <c r="T301" t="n" s="2">
        <v>4.15</v>
      </c>
      <c r="U301" t="s">
        <v>816</v>
      </c>
      <c r="V301" t="s">
        <v>39</v>
      </c>
      <c r="W301" t="n" s="2">
        <v>1.05</v>
      </c>
    </row>
    <row r="302">
      <c r="A302" t="s" s="0">
        <v>1272</v>
      </c>
      <c r="B302" t="s" s="0">
        <v>24</v>
      </c>
      <c r="C302" t="s" s="0">
        <v>1262</v>
      </c>
      <c r="D302" t="s" s="0">
        <v>1273</v>
      </c>
      <c r="E302" t="s" s="0">
        <v>645</v>
      </c>
      <c r="F302" t="s" s="0">
        <v>1274</v>
      </c>
      <c r="G302" t="s" s="0">
        <v>66</v>
      </c>
      <c r="H302" t="s" s="0">
        <v>1277</v>
      </c>
      <c r="I302" t="s" s="0">
        <v>31</v>
      </c>
      <c r="J302" t="n" s="2">
        <v>3.03</v>
      </c>
      <c r="K302" t="s">
        <v>33</v>
      </c>
      <c r="L302" t="s">
        <v>33</v>
      </c>
      <c r="M302" s="3">
        <f>IFERROR(K302/J302,0)</f>
      </c>
      <c r="N302" t="s">
        <v>651</v>
      </c>
      <c r="O302" t="s">
        <v>32</v>
      </c>
      <c r="P302" t="s">
        <v>1278</v>
      </c>
      <c r="Q302" t="s">
        <v>33</v>
      </c>
      <c r="R302" t="s">
        <v>1279</v>
      </c>
      <c r="S302" t="s">
        <v>42</v>
      </c>
      <c r="T302" t="n" s="2">
        <v>4.15</v>
      </c>
      <c r="U302" t="s">
        <v>1280</v>
      </c>
      <c r="V302" t="s">
        <v>39</v>
      </c>
      <c r="W302" t="n" s="2">
        <v>1.12</v>
      </c>
    </row>
    <row r="303">
      <c r="A303" t="s" s="0">
        <v>1272</v>
      </c>
      <c r="B303" t="s" s="0">
        <v>24</v>
      </c>
      <c r="C303" t="s" s="0">
        <v>1262</v>
      </c>
      <c r="D303" t="s" s="0">
        <v>1273</v>
      </c>
      <c r="E303" t="s" s="0">
        <v>645</v>
      </c>
      <c r="F303" t="s" s="0">
        <v>1274</v>
      </c>
      <c r="G303" t="s" s="0">
        <v>66</v>
      </c>
      <c r="H303" t="s" s="0">
        <v>579</v>
      </c>
      <c r="I303" t="s" s="0">
        <v>31</v>
      </c>
      <c r="J303" t="n" s="2">
        <v>3.15</v>
      </c>
      <c r="K303" t="s">
        <v>33</v>
      </c>
      <c r="L303" t="s">
        <v>33</v>
      </c>
      <c r="M303" s="3">
        <f>IFERROR(K303/J303,0)</f>
      </c>
      <c r="N303" t="s">
        <v>651</v>
      </c>
      <c r="O303" t="s">
        <v>32</v>
      </c>
      <c r="P303" t="s">
        <v>1281</v>
      </c>
      <c r="Q303" t="s">
        <v>33</v>
      </c>
      <c r="R303" t="s">
        <v>33</v>
      </c>
      <c r="S303" t="s">
        <v>35</v>
      </c>
      <c r="T303" t="n" s="2">
        <v>4.15</v>
      </c>
      <c r="U303" t="s">
        <v>1282</v>
      </c>
      <c r="V303" t="s">
        <v>39</v>
      </c>
      <c r="W303" t="n" s="2">
        <v>1.0</v>
      </c>
    </row>
    <row r="304">
      <c r="A304" t="s" s="0">
        <v>1272</v>
      </c>
      <c r="B304" t="s" s="0">
        <v>24</v>
      </c>
      <c r="C304" t="s" s="0">
        <v>1262</v>
      </c>
      <c r="D304" t="s" s="0">
        <v>1273</v>
      </c>
      <c r="E304" t="s" s="0">
        <v>645</v>
      </c>
      <c r="F304" t="s" s="0">
        <v>1274</v>
      </c>
      <c r="G304" t="s" s="0">
        <v>68</v>
      </c>
      <c r="H304" t="s" s="0">
        <v>232</v>
      </c>
      <c r="I304" t="s" s="0">
        <v>31</v>
      </c>
      <c r="J304" t="n" s="2">
        <v>3.6</v>
      </c>
      <c r="K304" t="s">
        <v>33</v>
      </c>
      <c r="L304" t="s">
        <v>33</v>
      </c>
      <c r="M304" s="3">
        <f>IFERROR(K304/J304,0)</f>
      </c>
      <c r="N304" t="s">
        <v>651</v>
      </c>
      <c r="O304" t="s">
        <v>32</v>
      </c>
      <c r="P304" t="s">
        <v>1283</v>
      </c>
      <c r="Q304" t="s">
        <v>33</v>
      </c>
      <c r="R304" t="s">
        <v>1284</v>
      </c>
      <c r="S304" t="s">
        <v>83</v>
      </c>
      <c r="T304" t="n" s="2">
        <v>4.9</v>
      </c>
      <c r="U304" t="s">
        <v>752</v>
      </c>
      <c r="V304" t="s">
        <v>39</v>
      </c>
      <c r="W304" t="n" s="2">
        <v>1.3</v>
      </c>
    </row>
    <row r="305">
      <c r="A305" t="s" s="0">
        <v>1272</v>
      </c>
      <c r="B305" t="s" s="0">
        <v>24</v>
      </c>
      <c r="C305" t="s" s="0">
        <v>1262</v>
      </c>
      <c r="D305" t="s" s="0">
        <v>1273</v>
      </c>
      <c r="E305" t="s" s="0">
        <v>645</v>
      </c>
      <c r="F305" t="s" s="0">
        <v>1274</v>
      </c>
      <c r="G305" t="s" s="0">
        <v>264</v>
      </c>
      <c r="H305" t="s" s="0">
        <v>286</v>
      </c>
      <c r="I305" t="s" s="0">
        <v>31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651</v>
      </c>
      <c r="O305" t="s">
        <v>32</v>
      </c>
      <c r="P305" t="s">
        <v>1285</v>
      </c>
      <c r="Q305" t="s">
        <v>33</v>
      </c>
      <c r="R305" t="s">
        <v>1286</v>
      </c>
      <c r="S305" t="s">
        <v>88</v>
      </c>
      <c r="U305" t="s">
        <v>39</v>
      </c>
      <c r="V305" t="s">
        <v>39</v>
      </c>
      <c r="W305" t="s">
        <v>39</v>
      </c>
    </row>
    <row r="306">
      <c r="A306" t="s" s="0">
        <v>1272</v>
      </c>
      <c r="B306" t="s" s="0">
        <v>24</v>
      </c>
      <c r="C306" t="s" s="0">
        <v>1262</v>
      </c>
      <c r="D306" t="s" s="0">
        <v>1273</v>
      </c>
      <c r="E306" t="s" s="0">
        <v>645</v>
      </c>
      <c r="F306" t="s" s="0">
        <v>1274</v>
      </c>
      <c r="G306" t="s" s="0">
        <v>46</v>
      </c>
      <c r="H306" t="s" s="0">
        <v>1287</v>
      </c>
      <c r="I306" t="s" s="0">
        <v>31</v>
      </c>
      <c r="J306" t="n" s="2">
        <v>4.2</v>
      </c>
      <c r="K306" t="s">
        <v>33</v>
      </c>
      <c r="L306" t="s">
        <v>33</v>
      </c>
      <c r="M306" s="3">
        <f>IFERROR(K306/J306,0)</f>
      </c>
      <c r="N306" t="s">
        <v>651</v>
      </c>
      <c r="O306" t="s">
        <v>32</v>
      </c>
      <c r="P306" t="s">
        <v>1288</v>
      </c>
      <c r="Q306" t="s">
        <v>33</v>
      </c>
      <c r="R306" t="s">
        <v>1289</v>
      </c>
      <c r="S306" t="s">
        <v>93</v>
      </c>
      <c r="T306" t="n" s="2">
        <v>5.95</v>
      </c>
      <c r="U306" t="s">
        <v>332</v>
      </c>
      <c r="V306" t="s">
        <v>39</v>
      </c>
      <c r="W306" t="n" s="2">
        <v>1.75</v>
      </c>
    </row>
    <row r="307">
      <c r="A307" t="s" s="0">
        <v>1290</v>
      </c>
      <c r="B307" t="s" s="0">
        <v>24</v>
      </c>
      <c r="C307" t="s" s="0">
        <v>1262</v>
      </c>
      <c r="D307" t="s" s="0">
        <v>1291</v>
      </c>
      <c r="E307" t="s" s="0">
        <v>1292</v>
      </c>
      <c r="F307" t="s" s="0">
        <v>1293</v>
      </c>
      <c r="G307" t="s" s="0">
        <v>46</v>
      </c>
      <c r="H307" t="s" s="0">
        <v>82</v>
      </c>
      <c r="I307" t="s" s="0">
        <v>31</v>
      </c>
      <c r="J307" t="n" s="2">
        <v>4.78</v>
      </c>
      <c r="K307" t="s">
        <v>33</v>
      </c>
      <c r="L307" t="s">
        <v>33</v>
      </c>
      <c r="M307" s="3">
        <f>IFERROR(K307/J307,0)</f>
      </c>
      <c r="N307" t="s">
        <v>965</v>
      </c>
      <c r="O307" t="s">
        <v>95</v>
      </c>
      <c r="P307" t="s">
        <v>1294</v>
      </c>
      <c r="Q307" t="s">
        <v>33</v>
      </c>
      <c r="R307" t="s">
        <v>1295</v>
      </c>
      <c r="S307" t="s">
        <v>32</v>
      </c>
      <c r="T307" t="n" s="2">
        <v>6.14</v>
      </c>
      <c r="U307" t="s">
        <v>1296</v>
      </c>
      <c r="V307" t="s">
        <v>39</v>
      </c>
      <c r="W307" t="n" s="2">
        <v>1.36</v>
      </c>
    </row>
    <row r="308">
      <c r="A308" t="s" s="0">
        <v>1290</v>
      </c>
      <c r="B308" t="s" s="0">
        <v>24</v>
      </c>
      <c r="C308" t="s" s="0">
        <v>1262</v>
      </c>
      <c r="D308" t="s" s="0">
        <v>1291</v>
      </c>
      <c r="E308" t="s" s="0">
        <v>1292</v>
      </c>
      <c r="F308" t="s" s="0">
        <v>1293</v>
      </c>
      <c r="G308" t="s" s="0">
        <v>46</v>
      </c>
      <c r="H308" t="s" s="0">
        <v>1297</v>
      </c>
      <c r="I308" t="s" s="0">
        <v>31</v>
      </c>
      <c r="J308" t="n" s="2">
        <v>4.8</v>
      </c>
      <c r="K308" t="s">
        <v>33</v>
      </c>
      <c r="L308" t="s">
        <v>33</v>
      </c>
      <c r="M308" s="3">
        <f>IFERROR(K308/J308,0)</f>
      </c>
      <c r="N308" t="s">
        <v>965</v>
      </c>
      <c r="O308" t="s">
        <v>95</v>
      </c>
      <c r="P308" t="s">
        <v>1298</v>
      </c>
      <c r="Q308" t="s">
        <v>33</v>
      </c>
      <c r="R308" t="s">
        <v>1299</v>
      </c>
      <c r="S308" t="s">
        <v>42</v>
      </c>
      <c r="T308" t="n" s="2">
        <v>6.14</v>
      </c>
      <c r="U308" t="s">
        <v>385</v>
      </c>
      <c r="V308" t="s">
        <v>39</v>
      </c>
      <c r="W308" t="n" s="2">
        <v>1.34</v>
      </c>
    </row>
    <row r="309">
      <c r="A309" t="s" s="0">
        <v>1290</v>
      </c>
      <c r="B309" t="s" s="0">
        <v>24</v>
      </c>
      <c r="C309" t="s" s="0">
        <v>1262</v>
      </c>
      <c r="D309" t="s" s="0">
        <v>1291</v>
      </c>
      <c r="E309" t="s" s="0">
        <v>1292</v>
      </c>
      <c r="F309" t="s" s="0">
        <v>1293</v>
      </c>
      <c r="G309" t="s" s="0">
        <v>46</v>
      </c>
      <c r="H309" t="s" s="0">
        <v>979</v>
      </c>
      <c r="I309" t="s" s="0">
        <v>31</v>
      </c>
      <c r="J309" t="n" s="2">
        <v>4.85</v>
      </c>
      <c r="K309" t="s">
        <v>33</v>
      </c>
      <c r="L309" t="s">
        <v>33</v>
      </c>
      <c r="M309" s="3">
        <f>IFERROR(K309/J309,0)</f>
      </c>
      <c r="N309" t="s">
        <v>965</v>
      </c>
      <c r="O309" t="s">
        <v>95</v>
      </c>
      <c r="P309" t="s">
        <v>1300</v>
      </c>
      <c r="Q309" t="s">
        <v>33</v>
      </c>
      <c r="R309" t="s">
        <v>1301</v>
      </c>
      <c r="S309" t="s">
        <v>35</v>
      </c>
      <c r="T309" t="n" s="2">
        <v>6.14</v>
      </c>
      <c r="U309" t="s">
        <v>1302</v>
      </c>
      <c r="V309" t="s">
        <v>39</v>
      </c>
      <c r="W309" t="n" s="2">
        <v>1.29</v>
      </c>
    </row>
    <row r="310">
      <c r="A310" t="s" s="0">
        <v>1290</v>
      </c>
      <c r="B310" t="s" s="0">
        <v>24</v>
      </c>
      <c r="C310" t="s" s="0">
        <v>1262</v>
      </c>
      <c r="D310" t="s" s="0">
        <v>1291</v>
      </c>
      <c r="E310" t="s" s="0">
        <v>1292</v>
      </c>
      <c r="F310" t="s" s="0">
        <v>1293</v>
      </c>
      <c r="G310" t="s" s="0">
        <v>768</v>
      </c>
      <c r="H310" t="s" s="0">
        <v>180</v>
      </c>
      <c r="I310" t="s" s="0">
        <v>181</v>
      </c>
      <c r="J310" t="n" s="2">
        <v>6.35</v>
      </c>
      <c r="K310" t="n" s="2">
        <v>4.0</v>
      </c>
      <c r="L310" t="n" s="2">
        <v>2.35</v>
      </c>
      <c r="M310" s="3">
        <f>IFERROR(K310/J310,0)</f>
      </c>
      <c r="N310" t="s">
        <v>965</v>
      </c>
      <c r="O310" t="s">
        <v>95</v>
      </c>
      <c r="P310" t="s">
        <v>1303</v>
      </c>
      <c r="Q310" t="s">
        <v>1304</v>
      </c>
      <c r="R310" t="s">
        <v>1305</v>
      </c>
      <c r="S310" t="s">
        <v>83</v>
      </c>
      <c r="U310" t="s">
        <v>39</v>
      </c>
      <c r="V310" t="s">
        <v>39</v>
      </c>
      <c r="W310" t="s">
        <v>39</v>
      </c>
    </row>
    <row r="311">
      <c r="A311" t="s" s="0">
        <v>1290</v>
      </c>
      <c r="B311" t="s" s="0">
        <v>24</v>
      </c>
      <c r="C311" t="s" s="0">
        <v>1262</v>
      </c>
      <c r="D311" t="s" s="0">
        <v>1291</v>
      </c>
      <c r="E311" t="s" s="0">
        <v>1292</v>
      </c>
      <c r="F311" t="s" s="0">
        <v>1293</v>
      </c>
      <c r="G311" t="s" s="0">
        <v>768</v>
      </c>
      <c r="H311" t="s" s="0">
        <v>1306</v>
      </c>
      <c r="I311" t="s" s="0">
        <v>181</v>
      </c>
      <c r="J311" t="n" s="2">
        <v>5.9</v>
      </c>
      <c r="K311" t="n" s="2">
        <v>4.0</v>
      </c>
      <c r="L311" t="n" s="2">
        <v>1.9</v>
      </c>
      <c r="M311" s="3">
        <f>IFERROR(K311/J311,0)</f>
      </c>
      <c r="N311" t="s">
        <v>965</v>
      </c>
      <c r="O311" t="s">
        <v>95</v>
      </c>
      <c r="P311" t="s">
        <v>1307</v>
      </c>
      <c r="Q311" t="s">
        <v>1308</v>
      </c>
      <c r="R311" t="s">
        <v>1309</v>
      </c>
      <c r="S311" t="s">
        <v>88</v>
      </c>
      <c r="U311" t="s">
        <v>39</v>
      </c>
      <c r="V311" t="s">
        <v>39</v>
      </c>
      <c r="W311" t="s">
        <v>39</v>
      </c>
    </row>
    <row r="312">
      <c r="A312" t="s" s="0">
        <v>1290</v>
      </c>
      <c r="B312" t="s" s="0">
        <v>24</v>
      </c>
      <c r="C312" t="s" s="0">
        <v>1262</v>
      </c>
      <c r="D312" t="s" s="0">
        <v>1291</v>
      </c>
      <c r="E312" t="s" s="0">
        <v>1292</v>
      </c>
      <c r="F312" t="s" s="0">
        <v>1293</v>
      </c>
      <c r="G312" t="s" s="0">
        <v>1310</v>
      </c>
      <c r="H312" t="s" s="0">
        <v>355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965</v>
      </c>
      <c r="O312" t="s">
        <v>95</v>
      </c>
      <c r="P312" t="s">
        <v>33</v>
      </c>
      <c r="Q312" t="s">
        <v>33</v>
      </c>
      <c r="R312" t="s">
        <v>33</v>
      </c>
      <c r="S312" t="s">
        <v>93</v>
      </c>
      <c r="U312" t="s">
        <v>39</v>
      </c>
      <c r="V312" t="s">
        <v>39</v>
      </c>
      <c r="W312" t="s">
        <v>39</v>
      </c>
    </row>
    <row r="313">
      <c r="A313" t="s" s="0">
        <v>1290</v>
      </c>
      <c r="B313" t="s" s="0">
        <v>24</v>
      </c>
      <c r="C313" t="s" s="0">
        <v>1262</v>
      </c>
      <c r="D313" t="s" s="0">
        <v>1291</v>
      </c>
      <c r="E313" t="s" s="0">
        <v>1292</v>
      </c>
      <c r="F313" t="s" s="0">
        <v>1293</v>
      </c>
      <c r="G313" t="s" s="0">
        <v>896</v>
      </c>
      <c r="H313" t="s" s="0">
        <v>1311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965</v>
      </c>
      <c r="O313" t="s">
        <v>95</v>
      </c>
      <c r="P313" t="s">
        <v>33</v>
      </c>
      <c r="Q313" t="s">
        <v>33</v>
      </c>
      <c r="R313" t="s">
        <v>33</v>
      </c>
      <c r="S313" t="s">
        <v>95</v>
      </c>
      <c r="U313" t="s">
        <v>39</v>
      </c>
      <c r="V313" t="s">
        <v>39</v>
      </c>
      <c r="W313" t="s">
        <v>39</v>
      </c>
    </row>
    <row r="314">
      <c r="A314" t="s" s="0">
        <v>1290</v>
      </c>
      <c r="B314" t="s" s="0">
        <v>24</v>
      </c>
      <c r="C314" t="s" s="0">
        <v>1262</v>
      </c>
      <c r="D314" t="s" s="0">
        <v>1291</v>
      </c>
      <c r="E314" t="s" s="0">
        <v>1292</v>
      </c>
      <c r="F314" t="s" s="0">
        <v>1293</v>
      </c>
      <c r="G314" t="s" s="0">
        <v>896</v>
      </c>
      <c r="H314" t="s" s="0">
        <v>1312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965</v>
      </c>
      <c r="O314" t="s">
        <v>95</v>
      </c>
      <c r="P314" t="s">
        <v>33</v>
      </c>
      <c r="Q314" t="s">
        <v>33</v>
      </c>
      <c r="R314" t="s">
        <v>33</v>
      </c>
      <c r="S314" t="s">
        <v>100</v>
      </c>
      <c r="U314" t="s">
        <v>39</v>
      </c>
      <c r="V314" t="s">
        <v>39</v>
      </c>
      <c r="W314" t="s">
        <v>39</v>
      </c>
    </row>
    <row r="315">
      <c r="A315" t="s" s="0">
        <v>1313</v>
      </c>
      <c r="B315" t="s" s="0">
        <v>24</v>
      </c>
      <c r="C315" t="s" s="0">
        <v>1262</v>
      </c>
      <c r="D315" t="s" s="0">
        <v>1314</v>
      </c>
      <c r="E315" t="s" s="0">
        <v>103</v>
      </c>
      <c r="F315" t="s" s="0">
        <v>1315</v>
      </c>
      <c r="G315" t="s" s="0">
        <v>34</v>
      </c>
      <c r="H315" t="s" s="0">
        <v>1316</v>
      </c>
      <c r="I315" t="s" s="0">
        <v>31</v>
      </c>
      <c r="J315" t="n" s="2">
        <v>3.35</v>
      </c>
      <c r="K315" t="s">
        <v>33</v>
      </c>
      <c r="L315" t="s">
        <v>33</v>
      </c>
      <c r="M315" s="3">
        <f>IFERROR(K315/J315,0)</f>
      </c>
      <c r="N315" t="s">
        <v>273</v>
      </c>
      <c r="O315" t="s">
        <v>35</v>
      </c>
      <c r="P315" t="s">
        <v>1317</v>
      </c>
      <c r="Q315" t="s">
        <v>33</v>
      </c>
      <c r="R315" t="s">
        <v>33</v>
      </c>
      <c r="S315" t="s">
        <v>32</v>
      </c>
      <c r="T315" t="n" s="2">
        <v>3.94</v>
      </c>
      <c r="U315" t="s">
        <v>1318</v>
      </c>
      <c r="V315" t="s">
        <v>39</v>
      </c>
      <c r="W315" t="n" s="2">
        <v>0.59</v>
      </c>
    </row>
    <row r="316">
      <c r="A316" t="s" s="0">
        <v>1313</v>
      </c>
      <c r="B316" t="s" s="0">
        <v>24</v>
      </c>
      <c r="C316" t="s" s="0">
        <v>1262</v>
      </c>
      <c r="D316" t="s" s="0">
        <v>1314</v>
      </c>
      <c r="E316" t="s" s="0">
        <v>103</v>
      </c>
      <c r="F316" t="s" s="0">
        <v>1315</v>
      </c>
      <c r="G316" t="s" s="0">
        <v>46</v>
      </c>
      <c r="H316" t="s" s="0">
        <v>47</v>
      </c>
      <c r="I316" t="s" s="0">
        <v>181</v>
      </c>
      <c r="J316" t="n" s="2">
        <v>3.7</v>
      </c>
      <c r="K316" t="n" s="2">
        <v>2.9</v>
      </c>
      <c r="L316" t="n" s="2">
        <v>0.8</v>
      </c>
      <c r="M316" s="3">
        <f>IFERROR(K316/J316,0)</f>
      </c>
      <c r="N316" t="s">
        <v>273</v>
      </c>
      <c r="O316" t="s">
        <v>35</v>
      </c>
      <c r="P316" t="s">
        <v>1319</v>
      </c>
      <c r="Q316" t="s">
        <v>1320</v>
      </c>
      <c r="R316" t="s">
        <v>1321</v>
      </c>
      <c r="S316" t="s">
        <v>42</v>
      </c>
      <c r="T316" t="n" s="2">
        <v>5.3</v>
      </c>
      <c r="U316" t="s">
        <v>1322</v>
      </c>
      <c r="V316" t="s">
        <v>245</v>
      </c>
      <c r="W316" t="n" s="2">
        <v>1.6</v>
      </c>
    </row>
    <row r="317">
      <c r="A317" t="s" s="0">
        <v>1323</v>
      </c>
      <c r="B317" t="s" s="0">
        <v>24</v>
      </c>
      <c r="C317" t="s" s="0">
        <v>1262</v>
      </c>
      <c r="D317" t="s" s="0">
        <v>1324</v>
      </c>
      <c r="E317" t="s" s="0">
        <v>720</v>
      </c>
      <c r="F317" t="s" s="0">
        <v>1325</v>
      </c>
      <c r="G317" t="s" s="0">
        <v>34</v>
      </c>
      <c r="H317" t="s" s="0">
        <v>1326</v>
      </c>
      <c r="I317" t="s" s="0">
        <v>31</v>
      </c>
      <c r="J317" t="n" s="2">
        <v>1.75</v>
      </c>
      <c r="K317" t="s">
        <v>33</v>
      </c>
      <c r="L317" t="s">
        <v>33</v>
      </c>
      <c r="M317" s="3">
        <f>IFERROR(K317/J317,0)</f>
      </c>
      <c r="N317" t="s">
        <v>114</v>
      </c>
      <c r="O317" t="s">
        <v>35</v>
      </c>
      <c r="P317" t="s">
        <v>1327</v>
      </c>
      <c r="Q317" t="s">
        <v>33</v>
      </c>
      <c r="R317" t="s">
        <v>1328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1323</v>
      </c>
      <c r="B318" t="s" s="0">
        <v>24</v>
      </c>
      <c r="C318" t="s" s="0">
        <v>1262</v>
      </c>
      <c r="D318" t="s" s="0">
        <v>1324</v>
      </c>
      <c r="E318" t="s" s="0">
        <v>720</v>
      </c>
      <c r="F318" t="s" s="0">
        <v>1325</v>
      </c>
      <c r="G318" t="s" s="0">
        <v>46</v>
      </c>
      <c r="H318" t="s" s="0">
        <v>1329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114</v>
      </c>
      <c r="O318" t="s">
        <v>35</v>
      </c>
      <c r="P318" t="s">
        <v>33</v>
      </c>
      <c r="Q318" t="s">
        <v>33</v>
      </c>
      <c r="R318" t="s">
        <v>33</v>
      </c>
      <c r="S318" t="s">
        <v>42</v>
      </c>
      <c r="T318" t="n" s="2">
        <v>2.77</v>
      </c>
      <c r="U318" t="s">
        <v>39</v>
      </c>
      <c r="V318" t="s">
        <v>39</v>
      </c>
      <c r="W318" t="s">
        <v>39</v>
      </c>
    </row>
    <row r="319">
      <c r="A319" t="s" s="0">
        <v>1323</v>
      </c>
      <c r="B319" t="s" s="0">
        <v>24</v>
      </c>
      <c r="C319" t="s" s="0">
        <v>1262</v>
      </c>
      <c r="D319" t="s" s="0">
        <v>1324</v>
      </c>
      <c r="E319" t="s" s="0">
        <v>720</v>
      </c>
      <c r="F319" t="s" s="0">
        <v>1325</v>
      </c>
      <c r="G319" t="s" s="0">
        <v>864</v>
      </c>
      <c r="H319" t="s" s="0">
        <v>879</v>
      </c>
      <c r="I319" t="s" s="0">
        <v>181</v>
      </c>
      <c r="J319" t="n" s="2">
        <v>2.7</v>
      </c>
      <c r="K319" t="n" s="2">
        <v>2.5</v>
      </c>
      <c r="L319" t="n" s="2">
        <v>0.2</v>
      </c>
      <c r="M319" s="3">
        <f>IFERROR(K319/J319,0)</f>
      </c>
      <c r="N319" t="s">
        <v>114</v>
      </c>
      <c r="O319" t="s">
        <v>35</v>
      </c>
      <c r="P319" t="s">
        <v>1330</v>
      </c>
      <c r="Q319" t="s">
        <v>1331</v>
      </c>
      <c r="R319" t="s">
        <v>1332</v>
      </c>
      <c r="S319" t="s">
        <v>35</v>
      </c>
      <c r="U319" t="s">
        <v>39</v>
      </c>
      <c r="V319" t="s">
        <v>39</v>
      </c>
      <c r="W319" t="s">
        <v>39</v>
      </c>
    </row>
    <row r="320">
      <c r="A320" t="s" s="0">
        <v>1323</v>
      </c>
      <c r="B320" t="s" s="0">
        <v>24</v>
      </c>
      <c r="C320" t="s" s="0">
        <v>1262</v>
      </c>
      <c r="D320" t="s" s="0">
        <v>1324</v>
      </c>
      <c r="E320" t="s" s="0">
        <v>720</v>
      </c>
      <c r="F320" t="s" s="0">
        <v>1325</v>
      </c>
      <c r="G320" t="s" s="0">
        <v>570</v>
      </c>
      <c r="H320" t="s" s="0">
        <v>854</v>
      </c>
      <c r="I320" t="s" s="0">
        <v>181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114</v>
      </c>
      <c r="O320" t="s">
        <v>35</v>
      </c>
      <c r="P320" t="s">
        <v>33</v>
      </c>
      <c r="Q320" t="s">
        <v>33</v>
      </c>
      <c r="R320" t="s">
        <v>33</v>
      </c>
      <c r="S320" t="s">
        <v>83</v>
      </c>
      <c r="U320" t="s">
        <v>39</v>
      </c>
      <c r="V320" t="s">
        <v>39</v>
      </c>
      <c r="W320" t="s">
        <v>39</v>
      </c>
    </row>
    <row r="321">
      <c r="A321" t="s" s="0">
        <v>1323</v>
      </c>
      <c r="B321" t="s" s="0">
        <v>24</v>
      </c>
      <c r="C321" t="s" s="0">
        <v>1262</v>
      </c>
      <c r="D321" t="s" s="0">
        <v>1324</v>
      </c>
      <c r="E321" t="s" s="0">
        <v>720</v>
      </c>
      <c r="F321" t="s" s="0">
        <v>1325</v>
      </c>
      <c r="G321" t="s" s="0">
        <v>483</v>
      </c>
      <c r="H321" t="s" s="0">
        <v>1333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114</v>
      </c>
      <c r="O321" t="s">
        <v>35</v>
      </c>
      <c r="P321" t="s">
        <v>33</v>
      </c>
      <c r="Q321" t="s">
        <v>33</v>
      </c>
      <c r="R321" t="s">
        <v>33</v>
      </c>
      <c r="S321" t="s">
        <v>88</v>
      </c>
      <c r="T321" t="n" s="2">
        <v>2.35</v>
      </c>
      <c r="U321" t="s">
        <v>39</v>
      </c>
      <c r="V321" t="s">
        <v>39</v>
      </c>
      <c r="W321" t="s">
        <v>39</v>
      </c>
    </row>
    <row r="322">
      <c r="A322" t="s" s="0">
        <v>1323</v>
      </c>
      <c r="B322" t="s" s="0">
        <v>24</v>
      </c>
      <c r="C322" t="s" s="0">
        <v>1262</v>
      </c>
      <c r="D322" t="s" s="0">
        <v>1324</v>
      </c>
      <c r="E322" t="s" s="0">
        <v>720</v>
      </c>
      <c r="F322" t="s" s="0">
        <v>1325</v>
      </c>
      <c r="G322" t="s" s="0">
        <v>483</v>
      </c>
      <c r="H322" t="s" s="0">
        <v>1334</v>
      </c>
      <c r="I322" t="s" s="0">
        <v>31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114</v>
      </c>
      <c r="O322" t="s">
        <v>35</v>
      </c>
      <c r="P322" t="s">
        <v>1335</v>
      </c>
      <c r="Q322" t="s">
        <v>33</v>
      </c>
      <c r="R322" t="s">
        <v>1336</v>
      </c>
      <c r="S322" t="s">
        <v>93</v>
      </c>
      <c r="T322" t="n" s="2">
        <v>2.35</v>
      </c>
      <c r="U322" t="s">
        <v>840</v>
      </c>
      <c r="V322" t="s">
        <v>39</v>
      </c>
      <c r="W322" t="n" s="2">
        <v>0.75</v>
      </c>
    </row>
    <row r="323">
      <c r="A323" t="s" s="0">
        <v>1323</v>
      </c>
      <c r="B323" t="s" s="0">
        <v>24</v>
      </c>
      <c r="C323" t="s" s="0">
        <v>1262</v>
      </c>
      <c r="D323" t="s" s="0">
        <v>1324</v>
      </c>
      <c r="E323" t="s" s="0">
        <v>720</v>
      </c>
      <c r="F323" t="s" s="0">
        <v>1325</v>
      </c>
      <c r="G323" t="s" s="0">
        <v>34</v>
      </c>
      <c r="H323" t="s" s="0">
        <v>1337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114</v>
      </c>
      <c r="O323" t="s">
        <v>35</v>
      </c>
      <c r="P323" t="s">
        <v>33</v>
      </c>
      <c r="Q323" t="s">
        <v>33</v>
      </c>
      <c r="R323" t="s">
        <v>33</v>
      </c>
      <c r="S323" t="s">
        <v>95</v>
      </c>
      <c r="U323" t="s">
        <v>39</v>
      </c>
      <c r="V323" t="s">
        <v>39</v>
      </c>
      <c r="W323" t="s">
        <v>39</v>
      </c>
    </row>
    <row r="324">
      <c r="A324" t="s" s="0">
        <v>1323</v>
      </c>
      <c r="B324" t="s" s="0">
        <v>24</v>
      </c>
      <c r="C324" t="s" s="0">
        <v>1262</v>
      </c>
      <c r="D324" t="s" s="0">
        <v>1324</v>
      </c>
      <c r="E324" t="s" s="0">
        <v>720</v>
      </c>
      <c r="F324" t="s" s="0">
        <v>1325</v>
      </c>
      <c r="G324" t="s" s="0">
        <v>264</v>
      </c>
      <c r="H324" t="s" s="0">
        <v>1338</v>
      </c>
      <c r="I324" t="s" s="0">
        <v>31</v>
      </c>
      <c r="J324" t="n" s="2">
        <v>2.2</v>
      </c>
      <c r="K324" t="s">
        <v>33</v>
      </c>
      <c r="L324" t="s">
        <v>33</v>
      </c>
      <c r="M324" s="3">
        <f>IFERROR(K324/J324,0)</f>
      </c>
      <c r="N324" t="s">
        <v>114</v>
      </c>
      <c r="O324" t="s">
        <v>35</v>
      </c>
      <c r="P324" t="s">
        <v>1339</v>
      </c>
      <c r="Q324" t="s">
        <v>33</v>
      </c>
      <c r="R324" t="s">
        <v>1340</v>
      </c>
      <c r="S324" t="s">
        <v>100</v>
      </c>
      <c r="U324" t="s">
        <v>39</v>
      </c>
      <c r="V324" t="s">
        <v>39</v>
      </c>
      <c r="W324" t="s">
        <v>39</v>
      </c>
    </row>
    <row r="325">
      <c r="A325" t="s" s="0">
        <v>1323</v>
      </c>
      <c r="B325" t="s" s="0">
        <v>24</v>
      </c>
      <c r="C325" t="s" s="0">
        <v>1262</v>
      </c>
      <c r="D325" t="s" s="0">
        <v>1324</v>
      </c>
      <c r="E325" t="s" s="0">
        <v>720</v>
      </c>
      <c r="F325" t="s" s="0">
        <v>1325</v>
      </c>
      <c r="G325" t="s" s="0">
        <v>264</v>
      </c>
      <c r="H325" t="s" s="0">
        <v>1341</v>
      </c>
      <c r="I325" t="s" s="0">
        <v>31</v>
      </c>
      <c r="J325" t="n" s="2">
        <v>1.9</v>
      </c>
      <c r="K325" t="s">
        <v>33</v>
      </c>
      <c r="L325" t="s">
        <v>33</v>
      </c>
      <c r="M325" s="3">
        <f>IFERROR(K325/J325,0)</f>
      </c>
      <c r="N325" t="s">
        <v>114</v>
      </c>
      <c r="O325" t="s">
        <v>35</v>
      </c>
      <c r="P325" t="s">
        <v>1342</v>
      </c>
      <c r="Q325" t="s">
        <v>33</v>
      </c>
      <c r="R325" t="s">
        <v>1343</v>
      </c>
      <c r="S325" t="s">
        <v>910</v>
      </c>
      <c r="U325" t="s">
        <v>39</v>
      </c>
      <c r="V325" t="s">
        <v>39</v>
      </c>
      <c r="W325" t="s">
        <v>39</v>
      </c>
    </row>
    <row r="326">
      <c r="A326" t="s" s="0">
        <v>1323</v>
      </c>
      <c r="B326" t="s" s="0">
        <v>24</v>
      </c>
      <c r="C326" t="s" s="0">
        <v>1262</v>
      </c>
      <c r="D326" t="s" s="0">
        <v>1324</v>
      </c>
      <c r="E326" t="s" s="0">
        <v>720</v>
      </c>
      <c r="F326" t="s" s="0">
        <v>1325</v>
      </c>
      <c r="G326" t="s" s="0">
        <v>46</v>
      </c>
      <c r="H326" t="s" s="0">
        <v>1344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114</v>
      </c>
      <c r="O326" t="s">
        <v>35</v>
      </c>
      <c r="P326" t="s">
        <v>1345</v>
      </c>
      <c r="Q326" t="s">
        <v>33</v>
      </c>
      <c r="R326" t="s">
        <v>1346</v>
      </c>
      <c r="S326" t="s">
        <v>902</v>
      </c>
      <c r="T326" t="n" s="2">
        <v>2.77</v>
      </c>
      <c r="U326" t="s">
        <v>1347</v>
      </c>
      <c r="V326" t="s">
        <v>39</v>
      </c>
      <c r="W326" t="n" s="2">
        <v>0.82</v>
      </c>
    </row>
    <row r="327">
      <c r="A327" t="s" s="0">
        <v>1348</v>
      </c>
      <c r="B327" t="s" s="0">
        <v>24</v>
      </c>
      <c r="C327" t="s" s="0">
        <v>1262</v>
      </c>
      <c r="D327" t="s" s="0">
        <v>1349</v>
      </c>
      <c r="E327" t="s" s="0">
        <v>65</v>
      </c>
      <c r="F327" t="s" s="0">
        <v>1350</v>
      </c>
      <c r="G327" t="s" s="0">
        <v>66</v>
      </c>
      <c r="H327" t="s" s="0">
        <v>67</v>
      </c>
      <c r="I327" t="s" s="0">
        <v>31</v>
      </c>
      <c r="J327" t="n" s="2">
        <v>2.63</v>
      </c>
      <c r="K327" t="s">
        <v>33</v>
      </c>
      <c r="L327" t="s">
        <v>33</v>
      </c>
      <c r="M327" s="3">
        <f>IFERROR(K327/J327,0)</f>
      </c>
      <c r="N327" t="s">
        <v>516</v>
      </c>
      <c r="O327" t="s">
        <v>59</v>
      </c>
      <c r="P327" t="s">
        <v>1351</v>
      </c>
      <c r="Q327" t="s">
        <v>33</v>
      </c>
      <c r="R327" t="s">
        <v>1352</v>
      </c>
      <c r="S327" t="s">
        <v>32</v>
      </c>
      <c r="T327" t="n" s="2">
        <v>3.57</v>
      </c>
      <c r="U327" t="s">
        <v>1353</v>
      </c>
      <c r="V327" t="s">
        <v>39</v>
      </c>
      <c r="W327" t="n" s="2">
        <v>0.94</v>
      </c>
    </row>
    <row r="328">
      <c r="A328" t="s" s="0">
        <v>1348</v>
      </c>
      <c r="B328" t="s" s="0">
        <v>24</v>
      </c>
      <c r="C328" t="s" s="0">
        <v>1262</v>
      </c>
      <c r="D328" t="s" s="0">
        <v>1349</v>
      </c>
      <c r="E328" t="s" s="0">
        <v>65</v>
      </c>
      <c r="F328" t="s" s="0">
        <v>1350</v>
      </c>
      <c r="G328" t="s" s="0">
        <v>66</v>
      </c>
      <c r="H328" t="s" s="0">
        <v>579</v>
      </c>
      <c r="I328" t="s" s="0">
        <v>31</v>
      </c>
      <c r="J328" t="n" s="2">
        <v>2.8</v>
      </c>
      <c r="K328" t="s">
        <v>33</v>
      </c>
      <c r="L328" t="s">
        <v>33</v>
      </c>
      <c r="M328" s="3">
        <f>IFERROR(K328/J328,0)</f>
      </c>
      <c r="N328" t="s">
        <v>516</v>
      </c>
      <c r="O328" t="s">
        <v>59</v>
      </c>
      <c r="P328" t="s">
        <v>1354</v>
      </c>
      <c r="Q328" t="s">
        <v>33</v>
      </c>
      <c r="R328" t="s">
        <v>1355</v>
      </c>
      <c r="S328" t="s">
        <v>42</v>
      </c>
      <c r="T328" t="n" s="2">
        <v>3.57</v>
      </c>
      <c r="U328" t="s">
        <v>1356</v>
      </c>
      <c r="V328" t="s">
        <v>39</v>
      </c>
      <c r="W328" t="n" s="2">
        <v>0.77</v>
      </c>
    </row>
    <row r="329">
      <c r="A329" t="s" s="0">
        <v>1348</v>
      </c>
      <c r="B329" t="s" s="0">
        <v>24</v>
      </c>
      <c r="C329" t="s" s="0">
        <v>1262</v>
      </c>
      <c r="D329" t="s" s="0">
        <v>1349</v>
      </c>
      <c r="E329" t="s" s="0">
        <v>65</v>
      </c>
      <c r="F329" t="s" s="0">
        <v>1350</v>
      </c>
      <c r="G329" t="s" s="0">
        <v>483</v>
      </c>
      <c r="H329" t="s" s="0">
        <v>648</v>
      </c>
      <c r="I329" t="s" s="0">
        <v>31</v>
      </c>
      <c r="J329" t="n" s="2">
        <v>3.0</v>
      </c>
      <c r="K329" t="s">
        <v>33</v>
      </c>
      <c r="L329" t="s">
        <v>33</v>
      </c>
      <c r="M329" s="3">
        <f>IFERROR(K329/J329,0)</f>
      </c>
      <c r="N329" t="s">
        <v>516</v>
      </c>
      <c r="O329" t="s">
        <v>59</v>
      </c>
      <c r="P329" t="s">
        <v>1357</v>
      </c>
      <c r="Q329" t="s">
        <v>33</v>
      </c>
      <c r="R329" t="s">
        <v>1358</v>
      </c>
      <c r="S329" t="s">
        <v>35</v>
      </c>
      <c r="T329" t="n" s="2">
        <v>4.2</v>
      </c>
      <c r="U329" t="s">
        <v>1359</v>
      </c>
      <c r="V329" t="s">
        <v>39</v>
      </c>
      <c r="W329" t="n" s="2">
        <v>1.2</v>
      </c>
    </row>
    <row r="330">
      <c r="A330" t="s" s="0">
        <v>1348</v>
      </c>
      <c r="B330" t="s" s="0">
        <v>24</v>
      </c>
      <c r="C330" t="s" s="0">
        <v>1262</v>
      </c>
      <c r="D330" t="s" s="0">
        <v>1349</v>
      </c>
      <c r="E330" t="s" s="0">
        <v>65</v>
      </c>
      <c r="F330" t="s" s="0">
        <v>1350</v>
      </c>
      <c r="G330" t="s" s="0">
        <v>46</v>
      </c>
      <c r="H330" t="s" s="0">
        <v>979</v>
      </c>
      <c r="I330" t="s" s="0">
        <v>31</v>
      </c>
      <c r="J330" t="n" s="2">
        <v>3.7</v>
      </c>
      <c r="K330" t="s">
        <v>33</v>
      </c>
      <c r="L330" t="s">
        <v>33</v>
      </c>
      <c r="M330" s="3">
        <f>IFERROR(K330/J330,0)</f>
      </c>
      <c r="N330" t="s">
        <v>516</v>
      </c>
      <c r="O330" t="s">
        <v>59</v>
      </c>
      <c r="P330" t="s">
        <v>1360</v>
      </c>
      <c r="Q330" t="s">
        <v>33</v>
      </c>
      <c r="R330" t="s">
        <v>1361</v>
      </c>
      <c r="S330" t="s">
        <v>83</v>
      </c>
      <c r="T330" t="n" s="2">
        <v>4.8</v>
      </c>
      <c r="U330" t="s">
        <v>1362</v>
      </c>
      <c r="V330" t="s">
        <v>39</v>
      </c>
      <c r="W330" t="n" s="2">
        <v>1.1</v>
      </c>
    </row>
    <row r="331">
      <c r="A331" t="s" s="0">
        <v>1348</v>
      </c>
      <c r="B331" t="s" s="0">
        <v>24</v>
      </c>
      <c r="C331" t="s" s="0">
        <v>1262</v>
      </c>
      <c r="D331" t="s" s="0">
        <v>1349</v>
      </c>
      <c r="E331" t="s" s="0">
        <v>65</v>
      </c>
      <c r="F331" t="s" s="0">
        <v>1350</v>
      </c>
      <c r="G331" t="s" s="0">
        <v>46</v>
      </c>
      <c r="H331" t="s" s="0">
        <v>328</v>
      </c>
      <c r="I331" t="s" s="0">
        <v>31</v>
      </c>
      <c r="J331" t="n" s="2">
        <v>3.6</v>
      </c>
      <c r="K331" t="s">
        <v>33</v>
      </c>
      <c r="L331" t="s">
        <v>33</v>
      </c>
      <c r="M331" s="3">
        <f>IFERROR(K331/J331,0)</f>
      </c>
      <c r="N331" t="s">
        <v>516</v>
      </c>
      <c r="O331" t="s">
        <v>59</v>
      </c>
      <c r="P331" t="s">
        <v>1363</v>
      </c>
      <c r="Q331" t="s">
        <v>33</v>
      </c>
      <c r="R331" t="s">
        <v>1364</v>
      </c>
      <c r="S331" t="s">
        <v>88</v>
      </c>
      <c r="T331" t="n" s="2">
        <v>4.8</v>
      </c>
      <c r="U331" t="s">
        <v>1365</v>
      </c>
      <c r="V331" t="s">
        <v>39</v>
      </c>
      <c r="W331" t="n" s="2">
        <v>1.2</v>
      </c>
    </row>
    <row r="332">
      <c r="A332" t="s" s="0">
        <v>1348</v>
      </c>
      <c r="B332" t="s" s="0">
        <v>24</v>
      </c>
      <c r="C332" t="s" s="0">
        <v>1262</v>
      </c>
      <c r="D332" t="s" s="0">
        <v>1349</v>
      </c>
      <c r="E332" t="s" s="0">
        <v>65</v>
      </c>
      <c r="F332" t="s" s="0">
        <v>1350</v>
      </c>
      <c r="G332" t="s" s="0">
        <v>46</v>
      </c>
      <c r="H332" t="s" s="0">
        <v>980</v>
      </c>
      <c r="I332" t="s" s="0">
        <v>31</v>
      </c>
      <c r="J332" t="n" s="2">
        <v>3.65</v>
      </c>
      <c r="K332" t="s">
        <v>33</v>
      </c>
      <c r="L332" t="s">
        <v>33</v>
      </c>
      <c r="M332" s="3">
        <f>IFERROR(K332/J332,0)</f>
      </c>
      <c r="N332" t="s">
        <v>516</v>
      </c>
      <c r="O332" t="s">
        <v>59</v>
      </c>
      <c r="P332" t="s">
        <v>1366</v>
      </c>
      <c r="Q332" t="s">
        <v>33</v>
      </c>
      <c r="R332" t="s">
        <v>1367</v>
      </c>
      <c r="S332" t="s">
        <v>93</v>
      </c>
      <c r="T332" t="n" s="2">
        <v>4.8</v>
      </c>
      <c r="U332" t="s">
        <v>1148</v>
      </c>
      <c r="V332" t="s">
        <v>39</v>
      </c>
      <c r="W332" t="n" s="2">
        <v>1.15</v>
      </c>
    </row>
    <row r="333">
      <c r="A333" t="s" s="0">
        <v>1348</v>
      </c>
      <c r="B333" t="s" s="0">
        <v>24</v>
      </c>
      <c r="C333" t="s" s="0">
        <v>1262</v>
      </c>
      <c r="D333" t="s" s="0">
        <v>1349</v>
      </c>
      <c r="E333" t="s" s="0">
        <v>65</v>
      </c>
      <c r="F333" t="s" s="0">
        <v>1350</v>
      </c>
      <c r="G333" t="s" s="0">
        <v>1368</v>
      </c>
      <c r="H333" t="s" s="0">
        <v>304</v>
      </c>
      <c r="I333" t="s" s="0">
        <v>31</v>
      </c>
      <c r="J333" t="n" s="2">
        <v>1.449</v>
      </c>
      <c r="K333" t="s">
        <v>33</v>
      </c>
      <c r="L333" t="s">
        <v>33</v>
      </c>
      <c r="M333" s="3">
        <f>IFERROR(K333/J333,0)</f>
      </c>
      <c r="N333" t="s">
        <v>516</v>
      </c>
      <c r="O333" t="s">
        <v>59</v>
      </c>
      <c r="P333" t="s">
        <v>1369</v>
      </c>
      <c r="Q333" t="s">
        <v>33</v>
      </c>
      <c r="R333" t="s">
        <v>1370</v>
      </c>
      <c r="S333" t="s">
        <v>95</v>
      </c>
      <c r="U333" t="s">
        <v>39</v>
      </c>
      <c r="V333" t="s">
        <v>39</v>
      </c>
      <c r="W333" t="s">
        <v>39</v>
      </c>
    </row>
    <row r="334">
      <c r="A334" t="s" s="0">
        <v>1371</v>
      </c>
      <c r="B334" t="s" s="0">
        <v>24</v>
      </c>
      <c r="C334" t="s" s="0">
        <v>1262</v>
      </c>
      <c r="D334" t="s" s="0">
        <v>1372</v>
      </c>
      <c r="E334" t="s" s="0">
        <v>887</v>
      </c>
      <c r="F334" t="s" s="0">
        <v>985</v>
      </c>
      <c r="G334" t="s" s="0">
        <v>66</v>
      </c>
      <c r="H334" t="s" s="0">
        <v>733</v>
      </c>
      <c r="I334" t="s" s="0">
        <v>198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444</v>
      </c>
      <c r="O334" t="s">
        <v>59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1371</v>
      </c>
      <c r="B335" t="s" s="0">
        <v>24</v>
      </c>
      <c r="C335" t="s" s="0">
        <v>1262</v>
      </c>
      <c r="D335" t="s" s="0">
        <v>1372</v>
      </c>
      <c r="E335" t="s" s="0">
        <v>887</v>
      </c>
      <c r="F335" t="s" s="0">
        <v>985</v>
      </c>
      <c r="G335" t="s" s="0">
        <v>46</v>
      </c>
      <c r="H335" t="s" s="0">
        <v>794</v>
      </c>
      <c r="I335" t="s" s="0">
        <v>31</v>
      </c>
      <c r="J335" t="n" s="2">
        <v>2.45</v>
      </c>
      <c r="K335" t="s">
        <v>33</v>
      </c>
      <c r="L335" t="s">
        <v>33</v>
      </c>
      <c r="M335" s="3">
        <f>IFERROR(K335/J335,0)</f>
      </c>
      <c r="N335" t="s">
        <v>444</v>
      </c>
      <c r="O335" t="s">
        <v>59</v>
      </c>
      <c r="P335" t="s">
        <v>950</v>
      </c>
      <c r="Q335" t="s">
        <v>33</v>
      </c>
      <c r="R335" t="s">
        <v>1373</v>
      </c>
      <c r="S335" t="s">
        <v>42</v>
      </c>
      <c r="T335" t="n" s="2">
        <v>2.75</v>
      </c>
      <c r="U335" t="s">
        <v>1374</v>
      </c>
      <c r="V335" t="s">
        <v>39</v>
      </c>
      <c r="W335" t="n" s="2">
        <v>0.3</v>
      </c>
    </row>
    <row r="336">
      <c r="A336" t="s" s="0">
        <v>1371</v>
      </c>
      <c r="B336" t="s" s="0">
        <v>24</v>
      </c>
      <c r="C336" t="s" s="0">
        <v>1262</v>
      </c>
      <c r="D336" t="s" s="0">
        <v>1372</v>
      </c>
      <c r="E336" t="s" s="0">
        <v>887</v>
      </c>
      <c r="F336" t="s" s="0">
        <v>985</v>
      </c>
      <c r="G336" t="s" s="0">
        <v>965</v>
      </c>
      <c r="H336" t="s" s="0">
        <v>1375</v>
      </c>
      <c r="I336" t="s" s="0">
        <v>181</v>
      </c>
      <c r="J336" t="n" s="2">
        <v>3.3</v>
      </c>
      <c r="K336" t="s">
        <v>33</v>
      </c>
      <c r="L336" t="s">
        <v>33</v>
      </c>
      <c r="M336" s="3">
        <f>IFERROR(K336/J336,0)</f>
      </c>
      <c r="N336" t="s">
        <v>444</v>
      </c>
      <c r="O336" t="s">
        <v>59</v>
      </c>
      <c r="P336" t="s">
        <v>1376</v>
      </c>
      <c r="Q336" t="s">
        <v>33</v>
      </c>
      <c r="R336" t="s">
        <v>33</v>
      </c>
      <c r="S336" t="s">
        <v>35</v>
      </c>
      <c r="U336" t="s">
        <v>39</v>
      </c>
      <c r="V336" t="s">
        <v>39</v>
      </c>
      <c r="W336" t="s">
        <v>39</v>
      </c>
    </row>
    <row r="337">
      <c r="A337" t="s" s="0">
        <v>1371</v>
      </c>
      <c r="B337" t="s" s="0">
        <v>24</v>
      </c>
      <c r="C337" t="s" s="0">
        <v>1262</v>
      </c>
      <c r="D337" t="s" s="0">
        <v>1372</v>
      </c>
      <c r="E337" t="s" s="0">
        <v>887</v>
      </c>
      <c r="F337" t="s" s="0">
        <v>985</v>
      </c>
      <c r="G337" t="s" s="0">
        <v>66</v>
      </c>
      <c r="H337" t="s" s="0">
        <v>68</v>
      </c>
      <c r="I337" t="s" s="0">
        <v>198</v>
      </c>
      <c r="J337" t="n" s="2">
        <v>1.5</v>
      </c>
      <c r="K337" t="s">
        <v>33</v>
      </c>
      <c r="L337" t="s">
        <v>33</v>
      </c>
      <c r="M337" s="3">
        <f>IFERROR(K337/J337,0)</f>
      </c>
      <c r="N337" t="s">
        <v>444</v>
      </c>
      <c r="O337" t="s">
        <v>59</v>
      </c>
      <c r="P337" t="s">
        <v>1377</v>
      </c>
      <c r="Q337" t="s">
        <v>33</v>
      </c>
      <c r="R337" t="s">
        <v>33</v>
      </c>
      <c r="S337" t="s">
        <v>83</v>
      </c>
      <c r="T337" t="n" s="2">
        <v>1.84</v>
      </c>
      <c r="U337" t="s">
        <v>1194</v>
      </c>
      <c r="V337" t="s">
        <v>39</v>
      </c>
      <c r="W337" t="n" s="2">
        <v>0.34</v>
      </c>
    </row>
    <row r="338">
      <c r="A338" t="s" s="0">
        <v>1378</v>
      </c>
      <c r="B338" t="s" s="0">
        <v>24</v>
      </c>
      <c r="C338" t="s" s="0">
        <v>1379</v>
      </c>
      <c r="D338" t="s" s="0">
        <v>1380</v>
      </c>
      <c r="E338" t="s" s="0">
        <v>65</v>
      </c>
      <c r="F338" t="s" s="0">
        <v>1381</v>
      </c>
      <c r="G338" t="s" s="0">
        <v>66</v>
      </c>
      <c r="H338" t="s" s="0">
        <v>582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879</v>
      </c>
      <c r="O338" t="s">
        <v>376</v>
      </c>
      <c r="P338" t="s">
        <v>1382</v>
      </c>
      <c r="Q338" t="s">
        <v>33</v>
      </c>
      <c r="R338" t="s">
        <v>1383</v>
      </c>
      <c r="S338" t="s">
        <v>32</v>
      </c>
      <c r="T338" t="n" s="2">
        <v>4.6</v>
      </c>
      <c r="U338" t="s">
        <v>1384</v>
      </c>
      <c r="V338" t="s">
        <v>39</v>
      </c>
      <c r="W338" t="n" s="2">
        <v>0.9</v>
      </c>
    </row>
    <row r="339">
      <c r="A339" t="s" s="0">
        <v>1378</v>
      </c>
      <c r="B339" t="s" s="0">
        <v>24</v>
      </c>
      <c r="C339" t="s" s="0">
        <v>1379</v>
      </c>
      <c r="D339" t="s" s="0">
        <v>1380</v>
      </c>
      <c r="E339" t="s" s="0">
        <v>65</v>
      </c>
      <c r="F339" t="s" s="0">
        <v>1381</v>
      </c>
      <c r="G339" t="s" s="0">
        <v>66</v>
      </c>
      <c r="H339" t="s" s="0">
        <v>579</v>
      </c>
      <c r="I339" t="s" s="0">
        <v>31</v>
      </c>
      <c r="J339" t="n" s="2">
        <v>3.45</v>
      </c>
      <c r="K339" t="s">
        <v>33</v>
      </c>
      <c r="L339" t="s">
        <v>33</v>
      </c>
      <c r="M339" s="3">
        <f>IFERROR(K339/J339,0)</f>
      </c>
      <c r="N339" t="s">
        <v>879</v>
      </c>
      <c r="O339" t="s">
        <v>376</v>
      </c>
      <c r="P339" t="s">
        <v>583</v>
      </c>
      <c r="Q339" t="s">
        <v>33</v>
      </c>
      <c r="R339" t="s">
        <v>1385</v>
      </c>
      <c r="S339" t="s">
        <v>42</v>
      </c>
      <c r="T339" t="n" s="2">
        <v>4.6</v>
      </c>
      <c r="U339" t="s">
        <v>1365</v>
      </c>
      <c r="V339" t="s">
        <v>39</v>
      </c>
      <c r="W339" t="n" s="2">
        <v>1.15</v>
      </c>
    </row>
    <row r="340">
      <c r="A340" t="s" s="0">
        <v>1378</v>
      </c>
      <c r="B340" t="s" s="0">
        <v>24</v>
      </c>
      <c r="C340" t="s" s="0">
        <v>1379</v>
      </c>
      <c r="D340" t="s" s="0">
        <v>1380</v>
      </c>
      <c r="E340" t="s" s="0">
        <v>65</v>
      </c>
      <c r="F340" t="s" s="0">
        <v>1381</v>
      </c>
      <c r="G340" t="s" s="0">
        <v>483</v>
      </c>
      <c r="H340" t="s" s="0">
        <v>1386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879</v>
      </c>
      <c r="O340" t="s">
        <v>376</v>
      </c>
      <c r="P340" t="s">
        <v>1387</v>
      </c>
      <c r="Q340" t="s">
        <v>33</v>
      </c>
      <c r="R340" t="s">
        <v>1388</v>
      </c>
      <c r="S340" t="s">
        <v>35</v>
      </c>
      <c r="T340" t="n" s="2">
        <v>5.18</v>
      </c>
      <c r="U340" t="s">
        <v>1389</v>
      </c>
      <c r="V340" t="s">
        <v>39</v>
      </c>
      <c r="W340" t="n" s="2">
        <v>1.08</v>
      </c>
    </row>
    <row r="341">
      <c r="A341" t="s" s="0">
        <v>1378</v>
      </c>
      <c r="B341" t="s" s="0">
        <v>24</v>
      </c>
      <c r="C341" t="s" s="0">
        <v>1379</v>
      </c>
      <c r="D341" t="s" s="0">
        <v>1380</v>
      </c>
      <c r="E341" t="s" s="0">
        <v>65</v>
      </c>
      <c r="F341" t="s" s="0">
        <v>1381</v>
      </c>
      <c r="G341" t="s" s="0">
        <v>483</v>
      </c>
      <c r="H341" t="s" s="0">
        <v>1390</v>
      </c>
      <c r="I341" t="s" s="0">
        <v>31</v>
      </c>
      <c r="J341" t="n" s="2">
        <v>3.9</v>
      </c>
      <c r="K341" t="s">
        <v>33</v>
      </c>
      <c r="L341" t="s">
        <v>33</v>
      </c>
      <c r="M341" s="3">
        <f>IFERROR(K341/J341,0)</f>
      </c>
      <c r="N341" t="s">
        <v>879</v>
      </c>
      <c r="O341" t="s">
        <v>376</v>
      </c>
      <c r="P341" t="s">
        <v>1391</v>
      </c>
      <c r="Q341" t="s">
        <v>33</v>
      </c>
      <c r="R341" t="s">
        <v>1392</v>
      </c>
      <c r="S341" t="s">
        <v>83</v>
      </c>
      <c r="T341" t="n" s="2">
        <v>5.18</v>
      </c>
      <c r="U341" t="s">
        <v>1393</v>
      </c>
      <c r="V341" t="s">
        <v>39</v>
      </c>
      <c r="W341" t="n" s="2">
        <v>1.28</v>
      </c>
    </row>
    <row r="342">
      <c r="A342" t="s" s="0">
        <v>1378</v>
      </c>
      <c r="B342" t="s" s="0">
        <v>24</v>
      </c>
      <c r="C342" t="s" s="0">
        <v>1379</v>
      </c>
      <c r="D342" t="s" s="0">
        <v>1380</v>
      </c>
      <c r="E342" t="s" s="0">
        <v>65</v>
      </c>
      <c r="F342" t="s" s="0">
        <v>1381</v>
      </c>
      <c r="G342" t="s" s="0">
        <v>46</v>
      </c>
      <c r="H342" t="s" s="0">
        <v>168</v>
      </c>
      <c r="I342" t="s" s="0">
        <v>31</v>
      </c>
      <c r="J342" t="n" s="2">
        <v>4.7</v>
      </c>
      <c r="K342" t="s">
        <v>33</v>
      </c>
      <c r="L342" t="s">
        <v>33</v>
      </c>
      <c r="M342" s="3">
        <f>IFERROR(K342/J342,0)</f>
      </c>
      <c r="N342" t="s">
        <v>879</v>
      </c>
      <c r="O342" t="s">
        <v>376</v>
      </c>
      <c r="P342" t="s">
        <v>1394</v>
      </c>
      <c r="Q342" t="s">
        <v>33</v>
      </c>
      <c r="R342" t="s">
        <v>1395</v>
      </c>
      <c r="S342" t="s">
        <v>88</v>
      </c>
      <c r="T342" t="n" s="2">
        <v>6.73</v>
      </c>
      <c r="U342" t="s">
        <v>1322</v>
      </c>
      <c r="V342" t="s">
        <v>39</v>
      </c>
      <c r="W342" t="n" s="2">
        <v>2.03</v>
      </c>
    </row>
    <row r="343">
      <c r="A343" t="s" s="0">
        <v>1378</v>
      </c>
      <c r="B343" t="s" s="0">
        <v>24</v>
      </c>
      <c r="C343" t="s" s="0">
        <v>1379</v>
      </c>
      <c r="D343" t="s" s="0">
        <v>1380</v>
      </c>
      <c r="E343" t="s" s="0">
        <v>65</v>
      </c>
      <c r="F343" t="s" s="0">
        <v>1381</v>
      </c>
      <c r="G343" t="s" s="0">
        <v>46</v>
      </c>
      <c r="H343" t="s" s="0">
        <v>277</v>
      </c>
      <c r="I343" t="s" s="0">
        <v>31</v>
      </c>
      <c r="J343" t="n" s="2">
        <v>4.55</v>
      </c>
      <c r="K343" t="n" s="2">
        <v>3.4</v>
      </c>
      <c r="L343" t="n" s="2">
        <v>1.15</v>
      </c>
      <c r="M343" s="3">
        <f>IFERROR(K343/J343,0)</f>
      </c>
      <c r="N343" t="s">
        <v>879</v>
      </c>
      <c r="O343" t="s">
        <v>376</v>
      </c>
      <c r="P343" t="s">
        <v>1396</v>
      </c>
      <c r="Q343" t="s">
        <v>1397</v>
      </c>
      <c r="R343" t="s">
        <v>1398</v>
      </c>
      <c r="S343" t="s">
        <v>93</v>
      </c>
      <c r="T343" t="n" s="2">
        <v>6.73</v>
      </c>
      <c r="U343" t="s">
        <v>219</v>
      </c>
      <c r="V343" t="s">
        <v>1399</v>
      </c>
      <c r="W343" t="n" s="2">
        <v>2.18</v>
      </c>
    </row>
    <row r="344">
      <c r="A344" t="s" s="0">
        <v>1378</v>
      </c>
      <c r="B344" t="s" s="0">
        <v>24</v>
      </c>
      <c r="C344" t="s" s="0">
        <v>1379</v>
      </c>
      <c r="D344" t="s" s="0">
        <v>1380</v>
      </c>
      <c r="E344" t="s" s="0">
        <v>65</v>
      </c>
      <c r="F344" t="s" s="0">
        <v>1381</v>
      </c>
      <c r="G344" t="s" s="0">
        <v>46</v>
      </c>
      <c r="H344" t="s" s="0">
        <v>1400</v>
      </c>
      <c r="I344" t="s" s="0">
        <v>31</v>
      </c>
      <c r="J344" t="n" s="2">
        <v>4.6</v>
      </c>
      <c r="K344" t="n" s="2">
        <v>3.2</v>
      </c>
      <c r="L344" t="n" s="2">
        <v>1.4</v>
      </c>
      <c r="M344" s="3">
        <f>IFERROR(K344/J344,0)</f>
      </c>
      <c r="N344" t="s">
        <v>879</v>
      </c>
      <c r="O344" t="s">
        <v>376</v>
      </c>
      <c r="P344" t="s">
        <v>1401</v>
      </c>
      <c r="Q344" t="s">
        <v>1401</v>
      </c>
      <c r="R344" t="s">
        <v>1402</v>
      </c>
      <c r="S344" t="s">
        <v>95</v>
      </c>
      <c r="T344" t="n" s="2">
        <v>6.73</v>
      </c>
      <c r="U344" t="s">
        <v>1403</v>
      </c>
      <c r="V344" t="s">
        <v>1404</v>
      </c>
      <c r="W344" t="n" s="2">
        <v>2.13</v>
      </c>
    </row>
    <row r="345">
      <c r="A345" t="s" s="0">
        <v>1378</v>
      </c>
      <c r="B345" t="s" s="0">
        <v>24</v>
      </c>
      <c r="C345" t="s" s="0">
        <v>1379</v>
      </c>
      <c r="D345" t="s" s="0">
        <v>1380</v>
      </c>
      <c r="E345" t="s" s="0">
        <v>65</v>
      </c>
      <c r="F345" t="s" s="0">
        <v>1381</v>
      </c>
      <c r="G345" t="s" s="0">
        <v>46</v>
      </c>
      <c r="H345" t="s" s="0">
        <v>1405</v>
      </c>
      <c r="I345" t="s" s="0">
        <v>31</v>
      </c>
      <c r="J345" t="n" s="2">
        <v>5.3</v>
      </c>
      <c r="K345" t="s">
        <v>33</v>
      </c>
      <c r="L345" t="s">
        <v>33</v>
      </c>
      <c r="M345" s="3">
        <f>IFERROR(K345/J345,0)</f>
      </c>
      <c r="N345" t="s">
        <v>879</v>
      </c>
      <c r="O345" t="s">
        <v>376</v>
      </c>
      <c r="P345" t="s">
        <v>1406</v>
      </c>
      <c r="Q345" t="s">
        <v>33</v>
      </c>
      <c r="R345" t="s">
        <v>1407</v>
      </c>
      <c r="S345" t="s">
        <v>100</v>
      </c>
      <c r="T345" t="n" s="2">
        <v>6.73</v>
      </c>
      <c r="U345" t="s">
        <v>1006</v>
      </c>
      <c r="V345" t="s">
        <v>39</v>
      </c>
      <c r="W345" t="n" s="2">
        <v>1.43</v>
      </c>
    </row>
    <row r="346">
      <c r="A346" t="s" s="0">
        <v>1378</v>
      </c>
      <c r="B346" t="s" s="0">
        <v>24</v>
      </c>
      <c r="C346" t="s" s="0">
        <v>1379</v>
      </c>
      <c r="D346" t="s" s="0">
        <v>1380</v>
      </c>
      <c r="E346" t="s" s="0">
        <v>65</v>
      </c>
      <c r="F346" t="s" s="0">
        <v>1381</v>
      </c>
      <c r="G346" t="s" s="0">
        <v>46</v>
      </c>
      <c r="H346" t="s" s="0">
        <v>1408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879</v>
      </c>
      <c r="O346" t="s">
        <v>376</v>
      </c>
      <c r="P346" t="s">
        <v>33</v>
      </c>
      <c r="Q346" t="s">
        <v>33</v>
      </c>
      <c r="R346" t="s">
        <v>33</v>
      </c>
      <c r="S346" t="s">
        <v>910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1378</v>
      </c>
      <c r="B347" t="s" s="0">
        <v>24</v>
      </c>
      <c r="C347" t="s" s="0">
        <v>1379</v>
      </c>
      <c r="D347" t="s" s="0">
        <v>1380</v>
      </c>
      <c r="E347" t="s" s="0">
        <v>65</v>
      </c>
      <c r="F347" t="s" s="0">
        <v>1381</v>
      </c>
      <c r="G347" t="s" s="0">
        <v>287</v>
      </c>
      <c r="H347" t="s" s="0">
        <v>452</v>
      </c>
      <c r="I347" t="s" s="0">
        <v>194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879</v>
      </c>
      <c r="O347" t="s">
        <v>376</v>
      </c>
      <c r="P347" t="s">
        <v>33</v>
      </c>
      <c r="Q347" t="s">
        <v>33</v>
      </c>
      <c r="R347" t="s">
        <v>33</v>
      </c>
      <c r="S347" t="s">
        <v>902</v>
      </c>
      <c r="U347" t="s">
        <v>39</v>
      </c>
      <c r="V347" t="s">
        <v>39</v>
      </c>
      <c r="W347" t="s">
        <v>39</v>
      </c>
    </row>
    <row r="348">
      <c r="A348" t="s" s="0">
        <v>1409</v>
      </c>
      <c r="B348" t="s" s="0">
        <v>24</v>
      </c>
      <c r="C348" t="s" s="0">
        <v>1410</v>
      </c>
      <c r="D348" t="s" s="0">
        <v>1411</v>
      </c>
      <c r="E348" t="s" s="0">
        <v>1412</v>
      </c>
      <c r="F348" t="s" s="0">
        <v>1413</v>
      </c>
      <c r="G348" t="s" s="0">
        <v>641</v>
      </c>
      <c r="H348" t="s" s="0">
        <v>1414</v>
      </c>
      <c r="I348" t="s" s="0">
        <v>31</v>
      </c>
      <c r="J348" t="n" s="2">
        <v>8.2</v>
      </c>
      <c r="K348" t="s">
        <v>33</v>
      </c>
      <c r="L348" t="s">
        <v>33</v>
      </c>
      <c r="M348" s="3">
        <f>IFERROR(K348/J348,0)</f>
      </c>
      <c r="N348" t="s">
        <v>1415</v>
      </c>
      <c r="O348" t="s">
        <v>910</v>
      </c>
      <c r="P348" t="s">
        <v>1416</v>
      </c>
      <c r="Q348" t="s">
        <v>33</v>
      </c>
      <c r="R348" t="s">
        <v>1417</v>
      </c>
      <c r="S348" t="s">
        <v>986</v>
      </c>
      <c r="U348" t="s">
        <v>39</v>
      </c>
      <c r="V348" t="s">
        <v>39</v>
      </c>
      <c r="W348" t="s">
        <v>39</v>
      </c>
    </row>
    <row r="349">
      <c r="A349" t="s" s="0">
        <v>1409</v>
      </c>
      <c r="B349" t="s" s="0">
        <v>24</v>
      </c>
      <c r="C349" t="s" s="0">
        <v>1410</v>
      </c>
      <c r="D349" t="s" s="0">
        <v>1411</v>
      </c>
      <c r="E349" t="s" s="0">
        <v>1412</v>
      </c>
      <c r="F349" t="s" s="0">
        <v>1413</v>
      </c>
      <c r="G349" t="s" s="0">
        <v>798</v>
      </c>
      <c r="H349" t="s" s="0">
        <v>518</v>
      </c>
      <c r="I349" t="s" s="0">
        <v>187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1415</v>
      </c>
      <c r="O349" t="s">
        <v>910</v>
      </c>
      <c r="P349" t="s">
        <v>1418</v>
      </c>
      <c r="Q349" t="s">
        <v>1419</v>
      </c>
      <c r="R349" t="s">
        <v>1420</v>
      </c>
      <c r="S349" t="s">
        <v>1056</v>
      </c>
      <c r="U349" t="s">
        <v>39</v>
      </c>
      <c r="V349" t="s">
        <v>39</v>
      </c>
      <c r="W349" t="s">
        <v>39</v>
      </c>
    </row>
    <row r="350">
      <c r="A350" t="s" s="0">
        <v>1409</v>
      </c>
      <c r="B350" t="s" s="0">
        <v>24</v>
      </c>
      <c r="C350" t="s" s="0">
        <v>1410</v>
      </c>
      <c r="D350" t="s" s="0">
        <v>1411</v>
      </c>
      <c r="E350" t="s" s="0">
        <v>1412</v>
      </c>
      <c r="F350" t="s" s="0">
        <v>1413</v>
      </c>
      <c r="G350" t="s" s="0">
        <v>641</v>
      </c>
      <c r="H350" t="s" s="0">
        <v>1421</v>
      </c>
      <c r="I350" t="s" s="0">
        <v>31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1415</v>
      </c>
      <c r="O350" t="s">
        <v>910</v>
      </c>
      <c r="P350" t="s">
        <v>1422</v>
      </c>
      <c r="Q350" t="s">
        <v>33</v>
      </c>
      <c r="R350" t="s">
        <v>1423</v>
      </c>
      <c r="S350" t="s">
        <v>453</v>
      </c>
      <c r="U350" t="s">
        <v>39</v>
      </c>
      <c r="V350" t="s">
        <v>39</v>
      </c>
      <c r="W350" t="s">
        <v>39</v>
      </c>
    </row>
    <row r="351">
      <c r="A351" t="s" s="0">
        <v>1409</v>
      </c>
      <c r="B351" t="s" s="0">
        <v>24</v>
      </c>
      <c r="C351" t="s" s="0">
        <v>1410</v>
      </c>
      <c r="D351" t="s" s="0">
        <v>1411</v>
      </c>
      <c r="E351" t="s" s="0">
        <v>1412</v>
      </c>
      <c r="F351" t="s" s="0">
        <v>1413</v>
      </c>
      <c r="G351" t="s" s="0">
        <v>1176</v>
      </c>
      <c r="H351" t="s" s="0">
        <v>1424</v>
      </c>
      <c r="I351" t="s" s="0">
        <v>187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1415</v>
      </c>
      <c r="O351" t="s">
        <v>910</v>
      </c>
      <c r="P351" t="s">
        <v>1426</v>
      </c>
      <c r="Q351" t="s">
        <v>33</v>
      </c>
      <c r="R351" t="s">
        <v>1427</v>
      </c>
      <c r="S351" t="s">
        <v>1425</v>
      </c>
      <c r="U351" t="s">
        <v>39</v>
      </c>
      <c r="V351" t="s">
        <v>39</v>
      </c>
      <c r="W351" t="s">
        <v>39</v>
      </c>
    </row>
    <row r="352">
      <c r="A352" t="s" s="0">
        <v>1409</v>
      </c>
      <c r="B352" t="s" s="0">
        <v>24</v>
      </c>
      <c r="C352" t="s" s="0">
        <v>1410</v>
      </c>
      <c r="D352" t="s" s="0">
        <v>1411</v>
      </c>
      <c r="E352" t="s" s="0">
        <v>1412</v>
      </c>
      <c r="F352" t="s" s="0">
        <v>1413</v>
      </c>
      <c r="G352" t="s" s="0">
        <v>1368</v>
      </c>
      <c r="H352" t="s" s="0">
        <v>304</v>
      </c>
      <c r="I352" t="s" s="0">
        <v>194</v>
      </c>
      <c r="J352" t="n" s="2">
        <v>2.06</v>
      </c>
      <c r="K352" t="n" s="2">
        <v>2.06</v>
      </c>
      <c r="L352" t="n" s="2">
        <v>0.0</v>
      </c>
      <c r="M352" s="3">
        <f>IFERROR(K352/J352,0)</f>
      </c>
      <c r="N352" t="s">
        <v>1415</v>
      </c>
      <c r="O352" t="s">
        <v>910</v>
      </c>
      <c r="P352" t="s">
        <v>1429</v>
      </c>
      <c r="Q352" t="s">
        <v>1429</v>
      </c>
      <c r="R352" t="s">
        <v>1430</v>
      </c>
      <c r="S352" t="s">
        <v>1428</v>
      </c>
      <c r="U352" t="s">
        <v>39</v>
      </c>
      <c r="V352" t="s">
        <v>39</v>
      </c>
      <c r="W352" t="s">
        <v>39</v>
      </c>
    </row>
    <row r="353">
      <c r="A353" t="s" s="0">
        <v>1409</v>
      </c>
      <c r="B353" t="s" s="0">
        <v>24</v>
      </c>
      <c r="C353" t="s" s="0">
        <v>1410</v>
      </c>
      <c r="D353" t="s" s="0">
        <v>1411</v>
      </c>
      <c r="E353" t="s" s="0">
        <v>1412</v>
      </c>
      <c r="F353" t="s" s="0">
        <v>1413</v>
      </c>
      <c r="G353" t="s" s="0">
        <v>66</v>
      </c>
      <c r="H353" t="s" s="0">
        <v>690</v>
      </c>
      <c r="I353" t="s" s="0">
        <v>31</v>
      </c>
      <c r="J353" t="n" s="2">
        <v>4.5</v>
      </c>
      <c r="K353" t="n" s="2">
        <v>3.5</v>
      </c>
      <c r="L353" t="n" s="2">
        <v>1.0</v>
      </c>
      <c r="M353" s="3">
        <f>IFERROR(K353/J353,0)</f>
      </c>
      <c r="N353" t="s">
        <v>1415</v>
      </c>
      <c r="O353" t="s">
        <v>910</v>
      </c>
      <c r="P353" t="s">
        <v>1431</v>
      </c>
      <c r="Q353" t="s">
        <v>1432</v>
      </c>
      <c r="R353" t="s">
        <v>1433</v>
      </c>
      <c r="S353" t="s">
        <v>32</v>
      </c>
      <c r="T353" t="n" s="2">
        <v>4.4</v>
      </c>
      <c r="U353" t="s">
        <v>1434</v>
      </c>
      <c r="V353" t="s">
        <v>1435</v>
      </c>
      <c r="W353" t="n" s="2">
        <v>-0.1</v>
      </c>
    </row>
    <row r="354">
      <c r="A354" t="s" s="0">
        <v>1409</v>
      </c>
      <c r="B354" t="s" s="0">
        <v>24</v>
      </c>
      <c r="C354" t="s" s="0">
        <v>1410</v>
      </c>
      <c r="D354" t="s" s="0">
        <v>1411</v>
      </c>
      <c r="E354" t="s" s="0">
        <v>1412</v>
      </c>
      <c r="F354" t="s" s="0">
        <v>1413</v>
      </c>
      <c r="G354" t="s" s="0">
        <v>66</v>
      </c>
      <c r="H354" t="s" s="0">
        <v>1255</v>
      </c>
      <c r="I354" t="s" s="0">
        <v>31</v>
      </c>
      <c r="J354" t="n" s="2">
        <v>4.45</v>
      </c>
      <c r="K354" t="n" s="2">
        <v>2.9</v>
      </c>
      <c r="L354" t="n" s="2">
        <v>1.55</v>
      </c>
      <c r="M354" s="3">
        <f>IFERROR(K354/J354,0)</f>
      </c>
      <c r="N354" t="s">
        <v>1415</v>
      </c>
      <c r="O354" t="s">
        <v>910</v>
      </c>
      <c r="P354" t="s">
        <v>1436</v>
      </c>
      <c r="Q354" t="s">
        <v>1432</v>
      </c>
      <c r="R354" t="s">
        <v>1437</v>
      </c>
      <c r="S354" t="s">
        <v>42</v>
      </c>
      <c r="T354" t="n" s="2">
        <v>4.4</v>
      </c>
      <c r="U354" t="s">
        <v>1438</v>
      </c>
      <c r="V354" t="s">
        <v>1439</v>
      </c>
      <c r="W354" t="n" s="2">
        <v>-0.05</v>
      </c>
    </row>
    <row r="355">
      <c r="A355" t="s" s="0">
        <v>1409</v>
      </c>
      <c r="B355" t="s" s="0">
        <v>24</v>
      </c>
      <c r="C355" t="s" s="0">
        <v>1410</v>
      </c>
      <c r="D355" t="s" s="0">
        <v>1411</v>
      </c>
      <c r="E355" t="s" s="0">
        <v>1412</v>
      </c>
      <c r="F355" t="s" s="0">
        <v>1413</v>
      </c>
      <c r="G355" t="s" s="0">
        <v>66</v>
      </c>
      <c r="H355" t="s" s="0">
        <v>213</v>
      </c>
      <c r="I355" t="s" s="0">
        <v>31</v>
      </c>
      <c r="J355" t="n" s="2">
        <v>4.6</v>
      </c>
      <c r="K355" t="s">
        <v>33</v>
      </c>
      <c r="L355" t="s">
        <v>33</v>
      </c>
      <c r="M355" s="3">
        <f>IFERROR(K355/J355,0)</f>
      </c>
      <c r="N355" t="s">
        <v>1415</v>
      </c>
      <c r="O355" t="s">
        <v>910</v>
      </c>
      <c r="P355" t="s">
        <v>1440</v>
      </c>
      <c r="Q355" t="s">
        <v>33</v>
      </c>
      <c r="R355" t="s">
        <v>1441</v>
      </c>
      <c r="S355" t="s">
        <v>35</v>
      </c>
      <c r="T355" t="n" s="2">
        <v>4.4</v>
      </c>
      <c r="U355" t="s">
        <v>1442</v>
      </c>
      <c r="V355" t="s">
        <v>39</v>
      </c>
      <c r="W355" t="n" s="2">
        <v>-0.2</v>
      </c>
    </row>
    <row r="356">
      <c r="A356" t="s" s="0">
        <v>1409</v>
      </c>
      <c r="B356" t="s" s="0">
        <v>24</v>
      </c>
      <c r="C356" t="s" s="0">
        <v>1410</v>
      </c>
      <c r="D356" t="s" s="0">
        <v>1411</v>
      </c>
      <c r="E356" t="s" s="0">
        <v>1412</v>
      </c>
      <c r="F356" t="s" s="0">
        <v>1413</v>
      </c>
      <c r="G356" t="s" s="0">
        <v>150</v>
      </c>
      <c r="H356" t="s" s="0">
        <v>629</v>
      </c>
      <c r="I356" t="s" s="0">
        <v>31</v>
      </c>
      <c r="J356" t="n" s="2">
        <v>5.5</v>
      </c>
      <c r="K356" t="s">
        <v>33</v>
      </c>
      <c r="L356" t="s">
        <v>33</v>
      </c>
      <c r="M356" s="3">
        <f>IFERROR(K356/J356,0)</f>
      </c>
      <c r="N356" t="s">
        <v>1415</v>
      </c>
      <c r="O356" t="s">
        <v>910</v>
      </c>
      <c r="P356" t="s">
        <v>1443</v>
      </c>
      <c r="Q356" t="s">
        <v>33</v>
      </c>
      <c r="R356" t="s">
        <v>1444</v>
      </c>
      <c r="S356" t="s">
        <v>83</v>
      </c>
      <c r="T356" t="n" s="2">
        <v>5.63</v>
      </c>
      <c r="U356" t="s">
        <v>1445</v>
      </c>
      <c r="V356" t="s">
        <v>39</v>
      </c>
      <c r="W356" t="n" s="2">
        <v>0.13</v>
      </c>
    </row>
    <row r="357">
      <c r="A357" t="s" s="0">
        <v>1409</v>
      </c>
      <c r="B357" t="s" s="0">
        <v>24</v>
      </c>
      <c r="C357" t="s" s="0">
        <v>1410</v>
      </c>
      <c r="D357" t="s" s="0">
        <v>1411</v>
      </c>
      <c r="E357" t="s" s="0">
        <v>1412</v>
      </c>
      <c r="F357" t="s" s="0">
        <v>1413</v>
      </c>
      <c r="G357" t="s" s="0">
        <v>150</v>
      </c>
      <c r="H357" t="s" s="0">
        <v>151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1415</v>
      </c>
      <c r="O357" t="s">
        <v>910</v>
      </c>
      <c r="P357" t="s">
        <v>1446</v>
      </c>
      <c r="Q357" t="s">
        <v>33</v>
      </c>
      <c r="R357" t="s">
        <v>1447</v>
      </c>
      <c r="S357" t="s">
        <v>88</v>
      </c>
      <c r="T357" t="n" s="2">
        <v>5.63</v>
      </c>
      <c r="U357" t="s">
        <v>961</v>
      </c>
      <c r="V357" t="s">
        <v>39</v>
      </c>
      <c r="W357" t="n" s="2">
        <v>0.33</v>
      </c>
    </row>
    <row r="358">
      <c r="A358" t="s" s="0">
        <v>1409</v>
      </c>
      <c r="B358" t="s" s="0">
        <v>24</v>
      </c>
      <c r="C358" t="s" s="0">
        <v>1410</v>
      </c>
      <c r="D358" t="s" s="0">
        <v>1411</v>
      </c>
      <c r="E358" t="s" s="0">
        <v>1412</v>
      </c>
      <c r="F358" t="s" s="0">
        <v>1413</v>
      </c>
      <c r="G358" t="s" s="0">
        <v>150</v>
      </c>
      <c r="H358" t="s" s="0">
        <v>1344</v>
      </c>
      <c r="I358" t="s" s="0">
        <v>31</v>
      </c>
      <c r="J358" t="n" s="2">
        <v>5.5</v>
      </c>
      <c r="K358" t="s">
        <v>33</v>
      </c>
      <c r="L358" t="s">
        <v>33</v>
      </c>
      <c r="M358" s="3">
        <f>IFERROR(K358/J358,0)</f>
      </c>
      <c r="N358" t="s">
        <v>1415</v>
      </c>
      <c r="O358" t="s">
        <v>910</v>
      </c>
      <c r="P358" t="s">
        <v>1448</v>
      </c>
      <c r="Q358" t="s">
        <v>33</v>
      </c>
      <c r="R358" t="s">
        <v>1449</v>
      </c>
      <c r="S358" t="s">
        <v>93</v>
      </c>
      <c r="T358" t="n" s="2">
        <v>5.63</v>
      </c>
      <c r="U358" t="s">
        <v>1445</v>
      </c>
      <c r="V358" t="s">
        <v>39</v>
      </c>
      <c r="W358" t="n" s="2">
        <v>0.13</v>
      </c>
    </row>
    <row r="359">
      <c r="A359" t="s" s="0">
        <v>1409</v>
      </c>
      <c r="B359" t="s" s="0">
        <v>24</v>
      </c>
      <c r="C359" t="s" s="0">
        <v>1410</v>
      </c>
      <c r="D359" t="s" s="0">
        <v>1411</v>
      </c>
      <c r="E359" t="s" s="0">
        <v>1412</v>
      </c>
      <c r="F359" t="s" s="0">
        <v>1413</v>
      </c>
      <c r="G359" t="s" s="0">
        <v>46</v>
      </c>
      <c r="H359" t="s" s="0">
        <v>173</v>
      </c>
      <c r="I359" t="s" s="0">
        <v>31</v>
      </c>
      <c r="J359" t="n" s="2">
        <v>6.4</v>
      </c>
      <c r="K359" t="s">
        <v>33</v>
      </c>
      <c r="L359" t="s">
        <v>33</v>
      </c>
      <c r="M359" s="3">
        <f>IFERROR(K359/J359,0)</f>
      </c>
      <c r="N359" t="s">
        <v>1415</v>
      </c>
      <c r="O359" t="s">
        <v>910</v>
      </c>
      <c r="P359" t="s">
        <v>1450</v>
      </c>
      <c r="Q359" t="s">
        <v>33</v>
      </c>
      <c r="R359" t="s">
        <v>1451</v>
      </c>
      <c r="S359" t="s">
        <v>95</v>
      </c>
      <c r="T359" t="n" s="2">
        <v>8.2</v>
      </c>
      <c r="U359" t="s">
        <v>1131</v>
      </c>
      <c r="V359" t="s">
        <v>39</v>
      </c>
      <c r="W359" t="n" s="2">
        <v>1.8</v>
      </c>
    </row>
    <row r="360">
      <c r="A360" t="s" s="0">
        <v>1409</v>
      </c>
      <c r="B360" t="s" s="0">
        <v>24</v>
      </c>
      <c r="C360" t="s" s="0">
        <v>1410</v>
      </c>
      <c r="D360" t="s" s="0">
        <v>1411</v>
      </c>
      <c r="E360" t="s" s="0">
        <v>1412</v>
      </c>
      <c r="F360" t="s" s="0">
        <v>1413</v>
      </c>
      <c r="G360" t="s" s="0">
        <v>46</v>
      </c>
      <c r="H360" t="s" s="0">
        <v>1452</v>
      </c>
      <c r="I360" t="s" s="0">
        <v>31</v>
      </c>
      <c r="J360" t="n" s="2">
        <v>6.6</v>
      </c>
      <c r="K360" t="s">
        <v>33</v>
      </c>
      <c r="L360" t="s">
        <v>33</v>
      </c>
      <c r="M360" s="3">
        <f>IFERROR(K360/J360,0)</f>
      </c>
      <c r="N360" t="s">
        <v>1415</v>
      </c>
      <c r="O360" t="s">
        <v>910</v>
      </c>
      <c r="P360" t="s">
        <v>1453</v>
      </c>
      <c r="Q360" t="s">
        <v>33</v>
      </c>
      <c r="R360" t="s">
        <v>1454</v>
      </c>
      <c r="S360" t="s">
        <v>100</v>
      </c>
      <c r="T360" t="n" s="2">
        <v>8.2</v>
      </c>
      <c r="U360" t="s">
        <v>863</v>
      </c>
      <c r="V360" t="s">
        <v>39</v>
      </c>
      <c r="W360" t="n" s="2">
        <v>1.6</v>
      </c>
    </row>
    <row r="361">
      <c r="A361" t="s" s="0">
        <v>1409</v>
      </c>
      <c r="B361" t="s" s="0">
        <v>24</v>
      </c>
      <c r="C361" t="s" s="0">
        <v>1410</v>
      </c>
      <c r="D361" t="s" s="0">
        <v>1411</v>
      </c>
      <c r="E361" t="s" s="0">
        <v>1412</v>
      </c>
      <c r="F361" t="s" s="0">
        <v>1413</v>
      </c>
      <c r="G361" t="s" s="0">
        <v>46</v>
      </c>
      <c r="H361" t="s" s="0">
        <v>1400</v>
      </c>
      <c r="I361" t="s" s="0">
        <v>31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1415</v>
      </c>
      <c r="O361" t="s">
        <v>910</v>
      </c>
      <c r="P361" t="s">
        <v>1455</v>
      </c>
      <c r="Q361" t="s">
        <v>33</v>
      </c>
      <c r="R361" t="s">
        <v>33</v>
      </c>
      <c r="S361" t="s">
        <v>910</v>
      </c>
      <c r="T361" t="n" s="2">
        <v>8.2</v>
      </c>
      <c r="U361" t="s">
        <v>1456</v>
      </c>
      <c r="V361" t="s">
        <v>39</v>
      </c>
      <c r="W361" t="n" s="2">
        <v>1.7</v>
      </c>
    </row>
    <row r="362">
      <c r="A362" t="s" s="0">
        <v>1409</v>
      </c>
      <c r="B362" t="s" s="0">
        <v>24</v>
      </c>
      <c r="C362" t="s" s="0">
        <v>1410</v>
      </c>
      <c r="D362" t="s" s="0">
        <v>1411</v>
      </c>
      <c r="E362" t="s" s="0">
        <v>1412</v>
      </c>
      <c r="F362" t="s" s="0">
        <v>1413</v>
      </c>
      <c r="G362" t="s" s="0">
        <v>46</v>
      </c>
      <c r="H362" t="s" s="0">
        <v>1457</v>
      </c>
      <c r="I362" t="s" s="0">
        <v>31</v>
      </c>
      <c r="J362" t="n" s="2">
        <v>5.95</v>
      </c>
      <c r="K362" t="s">
        <v>33</v>
      </c>
      <c r="L362" t="s">
        <v>33</v>
      </c>
      <c r="M362" s="3">
        <f>IFERROR(K362/J362,0)</f>
      </c>
      <c r="N362" t="s">
        <v>1415</v>
      </c>
      <c r="O362" t="s">
        <v>910</v>
      </c>
      <c r="P362" t="s">
        <v>1458</v>
      </c>
      <c r="Q362" t="s">
        <v>33</v>
      </c>
      <c r="R362" t="s">
        <v>1459</v>
      </c>
      <c r="S362" t="s">
        <v>902</v>
      </c>
      <c r="T362" t="n" s="2">
        <v>8.2</v>
      </c>
      <c r="U362" t="s">
        <v>1460</v>
      </c>
      <c r="V362" t="s">
        <v>39</v>
      </c>
      <c r="W362" t="n" s="2">
        <v>2.25</v>
      </c>
    </row>
    <row r="363">
      <c r="A363" t="s" s="0">
        <v>1461</v>
      </c>
      <c r="B363" t="s" s="0">
        <v>24</v>
      </c>
      <c r="C363" t="s" s="0">
        <v>957</v>
      </c>
      <c r="D363" t="s" s="0">
        <v>1462</v>
      </c>
      <c r="E363" t="s" s="0">
        <v>269</v>
      </c>
      <c r="F363" t="s" s="0">
        <v>1463</v>
      </c>
      <c r="G363" t="s" s="0">
        <v>250</v>
      </c>
      <c r="H363" t="s" s="0">
        <v>1464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140</v>
      </c>
      <c r="O363" t="s">
        <v>88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1461</v>
      </c>
      <c r="B364" t="s" s="0">
        <v>24</v>
      </c>
      <c r="C364" t="s" s="0">
        <v>957</v>
      </c>
      <c r="D364" t="s" s="0">
        <v>1462</v>
      </c>
      <c r="E364" t="s" s="0">
        <v>269</v>
      </c>
      <c r="F364" t="s" s="0">
        <v>1463</v>
      </c>
      <c r="G364" t="s" s="0">
        <v>209</v>
      </c>
      <c r="H364" t="s" s="0">
        <v>648</v>
      </c>
      <c r="I364" t="s" s="0">
        <v>31</v>
      </c>
      <c r="J364" t="n" s="2">
        <v>3.1</v>
      </c>
      <c r="K364" t="s">
        <v>33</v>
      </c>
      <c r="L364" t="s">
        <v>33</v>
      </c>
      <c r="M364" s="3">
        <f>IFERROR(K364/J364,0)</f>
      </c>
      <c r="N364" t="s">
        <v>140</v>
      </c>
      <c r="O364" t="s">
        <v>88</v>
      </c>
      <c r="P364" t="s">
        <v>1465</v>
      </c>
      <c r="Q364" t="s">
        <v>33</v>
      </c>
      <c r="R364" t="s">
        <v>1466</v>
      </c>
      <c r="S364" t="s">
        <v>42</v>
      </c>
      <c r="T364" t="n" s="2">
        <v>3.93</v>
      </c>
      <c r="U364" t="s">
        <v>1467</v>
      </c>
      <c r="V364" t="s">
        <v>39</v>
      </c>
      <c r="W364" t="n" s="2">
        <v>0.83</v>
      </c>
    </row>
    <row r="365">
      <c r="A365" t="s" s="0">
        <v>1461</v>
      </c>
      <c r="B365" t="s" s="0">
        <v>24</v>
      </c>
      <c r="C365" t="s" s="0">
        <v>957</v>
      </c>
      <c r="D365" t="s" s="0">
        <v>1462</v>
      </c>
      <c r="E365" t="s" s="0">
        <v>269</v>
      </c>
      <c r="F365" t="s" s="0">
        <v>1463</v>
      </c>
      <c r="G365" t="s" s="0">
        <v>264</v>
      </c>
      <c r="H365" t="s" s="0">
        <v>517</v>
      </c>
      <c r="I365" t="s" s="0">
        <v>31</v>
      </c>
      <c r="J365" t="n" s="2">
        <v>3.67</v>
      </c>
      <c r="K365" t="n" s="2">
        <v>3.2</v>
      </c>
      <c r="L365" t="n" s="2">
        <v>0.47</v>
      </c>
      <c r="M365" s="3">
        <f>IFERROR(K365/J365,0)</f>
      </c>
      <c r="N365" t="s">
        <v>140</v>
      </c>
      <c r="O365" t="s">
        <v>88</v>
      </c>
      <c r="P365" t="s">
        <v>706</v>
      </c>
      <c r="Q365" t="s">
        <v>995</v>
      </c>
      <c r="R365" t="s">
        <v>1468</v>
      </c>
      <c r="S365" t="s">
        <v>35</v>
      </c>
      <c r="T365" t="n" s="2">
        <v>5.04</v>
      </c>
      <c r="U365" t="s">
        <v>1469</v>
      </c>
      <c r="V365" t="s">
        <v>1470</v>
      </c>
      <c r="W365" t="n" s="2">
        <v>1.37</v>
      </c>
    </row>
    <row r="366">
      <c r="A366" t="s" s="0">
        <v>1471</v>
      </c>
      <c r="B366" t="s" s="0">
        <v>24</v>
      </c>
      <c r="C366" t="s" s="0">
        <v>957</v>
      </c>
      <c r="D366" t="s" s="0">
        <v>1472</v>
      </c>
      <c r="E366" t="s" s="0">
        <v>661</v>
      </c>
      <c r="F366" t="s" s="0">
        <v>1473</v>
      </c>
      <c r="G366" t="s" s="0">
        <v>46</v>
      </c>
      <c r="H366" t="s" s="0">
        <v>277</v>
      </c>
      <c r="I366" t="s" s="0">
        <v>31</v>
      </c>
      <c r="J366" t="n" s="2">
        <v>5.9</v>
      </c>
      <c r="K366" t="n" s="2">
        <v>4.0</v>
      </c>
      <c r="L366" t="n" s="2">
        <v>1.9</v>
      </c>
      <c r="M366" s="3">
        <f>IFERROR(K366/J366,0)</f>
      </c>
      <c r="N366" t="s">
        <v>893</v>
      </c>
      <c r="O366" t="s">
        <v>902</v>
      </c>
      <c r="P366" t="s">
        <v>1474</v>
      </c>
      <c r="Q366" t="s">
        <v>1475</v>
      </c>
      <c r="R366" t="s">
        <v>1476</v>
      </c>
      <c r="S366" t="s">
        <v>83</v>
      </c>
      <c r="T366" t="n" s="2">
        <v>7.4</v>
      </c>
      <c r="U366" t="s">
        <v>346</v>
      </c>
      <c r="V366" t="s">
        <v>1477</v>
      </c>
      <c r="W366" t="n" s="2">
        <v>1.5</v>
      </c>
    </row>
    <row r="367">
      <c r="A367" t="s" s="0">
        <v>1471</v>
      </c>
      <c r="B367" t="s" s="0">
        <v>24</v>
      </c>
      <c r="C367" t="s" s="0">
        <v>957</v>
      </c>
      <c r="D367" t="s" s="0">
        <v>1472</v>
      </c>
      <c r="E367" t="s" s="0">
        <v>661</v>
      </c>
      <c r="F367" t="s" s="0">
        <v>1473</v>
      </c>
      <c r="G367" t="s" s="0">
        <v>46</v>
      </c>
      <c r="H367" t="s" s="0">
        <v>1457</v>
      </c>
      <c r="I367" t="s" s="0">
        <v>31</v>
      </c>
      <c r="J367" t="n" s="2">
        <v>5.5</v>
      </c>
      <c r="K367" t="n" s="2">
        <v>3.6</v>
      </c>
      <c r="L367" t="n" s="2">
        <v>1.9</v>
      </c>
      <c r="M367" s="3">
        <f>IFERROR(K367/J367,0)</f>
      </c>
      <c r="N367" t="s">
        <v>893</v>
      </c>
      <c r="O367" t="s">
        <v>902</v>
      </c>
      <c r="P367" t="s">
        <v>1478</v>
      </c>
      <c r="Q367" t="s">
        <v>1479</v>
      </c>
      <c r="R367" t="s">
        <v>1480</v>
      </c>
      <c r="S367" t="s">
        <v>88</v>
      </c>
      <c r="T367" t="n" s="2">
        <v>7.4</v>
      </c>
      <c r="U367" t="s">
        <v>1481</v>
      </c>
      <c r="V367" t="s">
        <v>1482</v>
      </c>
      <c r="W367" t="n" s="2">
        <v>1.9</v>
      </c>
    </row>
    <row r="368">
      <c r="A368" t="s" s="0">
        <v>1471</v>
      </c>
      <c r="B368" t="s" s="0">
        <v>24</v>
      </c>
      <c r="C368" t="s" s="0">
        <v>957</v>
      </c>
      <c r="D368" t="s" s="0">
        <v>1472</v>
      </c>
      <c r="E368" t="s" s="0">
        <v>661</v>
      </c>
      <c r="F368" t="s" s="0">
        <v>1473</v>
      </c>
      <c r="G368" t="s" s="0">
        <v>105</v>
      </c>
      <c r="H368" t="s" s="0">
        <v>1483</v>
      </c>
      <c r="I368" t="s" s="0">
        <v>181</v>
      </c>
      <c r="J368" t="n" s="2">
        <v>7.4</v>
      </c>
      <c r="K368" t="s">
        <v>33</v>
      </c>
      <c r="L368" t="s">
        <v>33</v>
      </c>
      <c r="M368" s="3">
        <f>IFERROR(K368/J368,0)</f>
      </c>
      <c r="N368" t="s">
        <v>893</v>
      </c>
      <c r="O368" t="s">
        <v>902</v>
      </c>
      <c r="P368" t="s">
        <v>1484</v>
      </c>
      <c r="Q368" t="s">
        <v>33</v>
      </c>
      <c r="R368" t="s">
        <v>1485</v>
      </c>
      <c r="S368" t="s">
        <v>93</v>
      </c>
      <c r="U368" t="s">
        <v>39</v>
      </c>
      <c r="V368" t="s">
        <v>39</v>
      </c>
      <c r="W368" t="s">
        <v>39</v>
      </c>
    </row>
    <row r="369">
      <c r="A369" t="s" s="0">
        <v>1486</v>
      </c>
      <c r="B369" t="s" s="0">
        <v>24</v>
      </c>
      <c r="C369" t="s" s="0">
        <v>957</v>
      </c>
      <c r="D369" t="s" s="0">
        <v>1487</v>
      </c>
      <c r="E369" t="s" s="0">
        <v>661</v>
      </c>
      <c r="F369" t="s" s="0">
        <v>1488</v>
      </c>
      <c r="G369" t="s" s="0">
        <v>1368</v>
      </c>
      <c r="H369" t="s" s="0">
        <v>1489</v>
      </c>
      <c r="I369" t="s" s="0">
        <v>391</v>
      </c>
      <c r="J369" t="s" s="0">
        <v>33</v>
      </c>
      <c r="K369" t="n" s="2">
        <v>1.87</v>
      </c>
      <c r="L369" t="s">
        <v>33</v>
      </c>
      <c r="M369" s="3">
        <f>IFERROR(K369/J369,0)</f>
      </c>
      <c r="N369" t="s">
        <v>1490</v>
      </c>
      <c r="O369" t="s">
        <v>453</v>
      </c>
      <c r="P369" t="s">
        <v>33</v>
      </c>
      <c r="Q369" t="s">
        <v>1491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1486</v>
      </c>
      <c r="B370" t="s" s="0">
        <v>24</v>
      </c>
      <c r="C370" t="s" s="0">
        <v>957</v>
      </c>
      <c r="D370" t="s" s="0">
        <v>1487</v>
      </c>
      <c r="E370" t="s" s="0">
        <v>661</v>
      </c>
      <c r="F370" t="s" s="0">
        <v>1488</v>
      </c>
      <c r="G370" t="s" s="0">
        <v>150</v>
      </c>
      <c r="H370" t="s" s="0">
        <v>179</v>
      </c>
      <c r="I370" t="s" s="0">
        <v>31</v>
      </c>
      <c r="J370" t="n" s="2">
        <v>4.8</v>
      </c>
      <c r="K370" t="s">
        <v>33</v>
      </c>
      <c r="L370" t="s">
        <v>33</v>
      </c>
      <c r="M370" s="3">
        <f>IFERROR(K370/J370,0)</f>
      </c>
      <c r="N370" t="s">
        <v>1490</v>
      </c>
      <c r="O370" t="s">
        <v>453</v>
      </c>
      <c r="P370" t="s">
        <v>1492</v>
      </c>
      <c r="Q370" t="s">
        <v>33</v>
      </c>
      <c r="R370" t="s">
        <v>1493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1486</v>
      </c>
      <c r="B371" t="s" s="0">
        <v>24</v>
      </c>
      <c r="C371" t="s" s="0">
        <v>957</v>
      </c>
      <c r="D371" t="s" s="0">
        <v>1487</v>
      </c>
      <c r="E371" t="s" s="0">
        <v>661</v>
      </c>
      <c r="F371" t="s" s="0">
        <v>1488</v>
      </c>
      <c r="G371" t="s" s="0">
        <v>66</v>
      </c>
      <c r="H371" t="s" s="0">
        <v>46</v>
      </c>
      <c r="I371" t="s" s="0">
        <v>31</v>
      </c>
      <c r="J371" t="n" s="2">
        <v>3.65</v>
      </c>
      <c r="K371" t="s">
        <v>33</v>
      </c>
      <c r="L371" t="s">
        <v>33</v>
      </c>
      <c r="M371" s="3">
        <f>IFERROR(K371/J371,0)</f>
      </c>
      <c r="N371" t="s">
        <v>1490</v>
      </c>
      <c r="O371" t="s">
        <v>453</v>
      </c>
      <c r="P371" t="s">
        <v>1492</v>
      </c>
      <c r="Q371" t="s">
        <v>33</v>
      </c>
      <c r="R371" t="s">
        <v>1494</v>
      </c>
      <c r="S371" t="s">
        <v>35</v>
      </c>
      <c r="T371" t="n" s="2">
        <v>4.8</v>
      </c>
      <c r="U371" t="s">
        <v>1148</v>
      </c>
      <c r="V371" t="s">
        <v>39</v>
      </c>
      <c r="W371" t="n" s="2">
        <v>1.15</v>
      </c>
    </row>
    <row r="372">
      <c r="A372" t="s" s="0">
        <v>1495</v>
      </c>
      <c r="B372" t="s" s="0">
        <v>24</v>
      </c>
      <c r="C372" t="s" s="0">
        <v>957</v>
      </c>
      <c r="D372" t="s" s="0">
        <v>1496</v>
      </c>
      <c r="E372" t="s" s="0">
        <v>577</v>
      </c>
      <c r="F372" t="s" s="0">
        <v>1497</v>
      </c>
      <c r="G372" t="s" s="0">
        <v>46</v>
      </c>
      <c r="H372" t="s" s="0">
        <v>152</v>
      </c>
      <c r="I372" t="s" s="0">
        <v>31</v>
      </c>
      <c r="J372" t="n" s="2">
        <v>2.15</v>
      </c>
      <c r="K372" t="n" s="2">
        <v>2.0</v>
      </c>
      <c r="L372" t="n" s="2">
        <v>0.15</v>
      </c>
      <c r="M372" s="3">
        <f>IFERROR(K372/J372,0)</f>
      </c>
      <c r="N372" t="s">
        <v>1425</v>
      </c>
      <c r="O372" t="s">
        <v>42</v>
      </c>
      <c r="P372" t="s">
        <v>455</v>
      </c>
      <c r="Q372" t="s">
        <v>261</v>
      </c>
      <c r="R372" t="s">
        <v>1498</v>
      </c>
      <c r="S372" t="s">
        <v>32</v>
      </c>
      <c r="T372" t="n" s="2">
        <v>3.05</v>
      </c>
      <c r="U372" t="s">
        <v>1499</v>
      </c>
      <c r="V372" t="s">
        <v>1500</v>
      </c>
      <c r="W372" t="n" s="2">
        <v>0.9</v>
      </c>
    </row>
    <row r="373">
      <c r="A373" t="s" s="0">
        <v>1495</v>
      </c>
      <c r="B373" t="s" s="0">
        <v>24</v>
      </c>
      <c r="C373" t="s" s="0">
        <v>957</v>
      </c>
      <c r="D373" t="s" s="0">
        <v>1496</v>
      </c>
      <c r="E373" t="s" s="0">
        <v>577</v>
      </c>
      <c r="F373" t="s" s="0">
        <v>1497</v>
      </c>
      <c r="G373" t="s" s="0">
        <v>421</v>
      </c>
      <c r="H373" t="s" s="0">
        <v>1501</v>
      </c>
      <c r="I373" t="s" s="0">
        <v>181</v>
      </c>
      <c r="J373" t="n" s="2">
        <v>2.98</v>
      </c>
      <c r="K373" t="s">
        <v>33</v>
      </c>
      <c r="L373" t="s">
        <v>33</v>
      </c>
      <c r="M373" s="3">
        <f>IFERROR(K373/J373,0)</f>
      </c>
      <c r="N373" t="s">
        <v>1425</v>
      </c>
      <c r="O373" t="s">
        <v>42</v>
      </c>
      <c r="P373" t="s">
        <v>1502</v>
      </c>
      <c r="Q373" t="s">
        <v>33</v>
      </c>
      <c r="R373" t="s">
        <v>1503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1495</v>
      </c>
      <c r="B374" t="s" s="0">
        <v>24</v>
      </c>
      <c r="C374" t="s" s="0">
        <v>957</v>
      </c>
      <c r="D374" t="s" s="0">
        <v>1496</v>
      </c>
      <c r="E374" t="s" s="0">
        <v>577</v>
      </c>
      <c r="F374" t="s" s="0">
        <v>1497</v>
      </c>
      <c r="G374" t="s" s="0">
        <v>854</v>
      </c>
      <c r="H374" t="s" s="0">
        <v>1504</v>
      </c>
      <c r="I374" t="s" s="0">
        <v>181</v>
      </c>
      <c r="J374" t="n" s="2">
        <v>3.1</v>
      </c>
      <c r="K374" t="s">
        <v>33</v>
      </c>
      <c r="L374" t="s">
        <v>33</v>
      </c>
      <c r="M374" s="3">
        <f>IFERROR(K374/J374,0)</f>
      </c>
      <c r="N374" t="s">
        <v>1425</v>
      </c>
      <c r="O374" t="s">
        <v>42</v>
      </c>
      <c r="P374" t="s">
        <v>1213</v>
      </c>
      <c r="Q374" t="s">
        <v>33</v>
      </c>
      <c r="R374" t="s">
        <v>33</v>
      </c>
      <c r="S374" t="s">
        <v>35</v>
      </c>
      <c r="U374" t="s">
        <v>39</v>
      </c>
      <c r="V374" t="s">
        <v>39</v>
      </c>
      <c r="W374" t="s">
        <v>39</v>
      </c>
    </row>
    <row r="375">
      <c r="A375" t="s" s="0">
        <v>1495</v>
      </c>
      <c r="B375" t="s" s="0">
        <v>24</v>
      </c>
      <c r="C375" t="s" s="0">
        <v>957</v>
      </c>
      <c r="D375" t="s" s="0">
        <v>1496</v>
      </c>
      <c r="E375" t="s" s="0">
        <v>577</v>
      </c>
      <c r="F375" t="s" s="0">
        <v>1497</v>
      </c>
      <c r="G375" t="s" s="0">
        <v>1505</v>
      </c>
      <c r="H375" t="s" s="0">
        <v>1506</v>
      </c>
      <c r="I375" t="s" s="0">
        <v>181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1425</v>
      </c>
      <c r="O375" t="s">
        <v>42</v>
      </c>
      <c r="P375" t="s">
        <v>1140</v>
      </c>
      <c r="Q375" t="s">
        <v>33</v>
      </c>
      <c r="R375" t="s">
        <v>1507</v>
      </c>
      <c r="S375" t="s">
        <v>83</v>
      </c>
      <c r="U375" t="s">
        <v>39</v>
      </c>
      <c r="V375" t="s">
        <v>39</v>
      </c>
      <c r="W375" t="s">
        <v>39</v>
      </c>
    </row>
    <row r="376">
      <c r="A376" t="s" s="0">
        <v>1508</v>
      </c>
      <c r="B376" t="s" s="0">
        <v>24</v>
      </c>
      <c r="C376" t="s" s="0">
        <v>1509</v>
      </c>
      <c r="D376" t="s" s="0">
        <v>1510</v>
      </c>
      <c r="E376" t="s" s="0">
        <v>661</v>
      </c>
      <c r="F376" t="s" s="0">
        <v>1511</v>
      </c>
      <c r="G376" t="s" s="0">
        <v>264</v>
      </c>
      <c r="H376" t="s" s="0">
        <v>1512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141</v>
      </c>
      <c r="O376" t="s">
        <v>902</v>
      </c>
      <c r="P376" t="s">
        <v>1513</v>
      </c>
      <c r="Q376" t="s">
        <v>33</v>
      </c>
      <c r="R376" t="s">
        <v>1514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1508</v>
      </c>
      <c r="B377" t="s" s="0">
        <v>24</v>
      </c>
      <c r="C377" t="s" s="0">
        <v>1509</v>
      </c>
      <c r="D377" t="s" s="0">
        <v>1510</v>
      </c>
      <c r="E377" t="s" s="0">
        <v>661</v>
      </c>
      <c r="F377" t="s" s="0">
        <v>1511</v>
      </c>
      <c r="G377" t="s" s="0">
        <v>46</v>
      </c>
      <c r="H377" t="s" s="0">
        <v>328</v>
      </c>
      <c r="I377" t="s" s="0">
        <v>31</v>
      </c>
      <c r="J377" t="n" s="2">
        <v>4.1</v>
      </c>
      <c r="K377" t="n" s="2">
        <v>3.0</v>
      </c>
      <c r="L377" t="n" s="2">
        <v>1.1</v>
      </c>
      <c r="M377" s="3">
        <f>IFERROR(K377/J377,0)</f>
      </c>
      <c r="N377" t="s">
        <v>141</v>
      </c>
      <c r="O377" t="s">
        <v>902</v>
      </c>
      <c r="P377" t="s">
        <v>1515</v>
      </c>
      <c r="Q377" t="s">
        <v>1516</v>
      </c>
      <c r="R377" t="s">
        <v>1517</v>
      </c>
      <c r="S377" t="s">
        <v>42</v>
      </c>
      <c r="T377" t="n" s="2">
        <v>5.351</v>
      </c>
      <c r="U377" t="s">
        <v>569</v>
      </c>
      <c r="V377" t="s">
        <v>1518</v>
      </c>
      <c r="W377" t="n" s="2">
        <v>1.25</v>
      </c>
    </row>
    <row r="378">
      <c r="A378" t="s" s="0">
        <v>1508</v>
      </c>
      <c r="B378" t="s" s="0">
        <v>24</v>
      </c>
      <c r="C378" t="s" s="0">
        <v>1509</v>
      </c>
      <c r="D378" t="s" s="0">
        <v>1510</v>
      </c>
      <c r="E378" t="s" s="0">
        <v>661</v>
      </c>
      <c r="F378" t="s" s="0">
        <v>1511</v>
      </c>
      <c r="G378" t="s" s="0">
        <v>46</v>
      </c>
      <c r="H378" t="s" s="0">
        <v>1519</v>
      </c>
      <c r="I378" t="s" s="0">
        <v>31</v>
      </c>
      <c r="J378" t="n" s="2">
        <v>4.29</v>
      </c>
      <c r="K378" t="s">
        <v>33</v>
      </c>
      <c r="L378" t="s">
        <v>33</v>
      </c>
      <c r="M378" s="3">
        <f>IFERROR(K378/J378,0)</f>
      </c>
      <c r="N378" t="s">
        <v>141</v>
      </c>
      <c r="O378" t="s">
        <v>902</v>
      </c>
      <c r="P378" t="s">
        <v>1520</v>
      </c>
      <c r="Q378" t="s">
        <v>33</v>
      </c>
      <c r="R378" t="s">
        <v>1521</v>
      </c>
      <c r="S378" t="s">
        <v>35</v>
      </c>
      <c r="T378" t="n" s="2">
        <v>5.351</v>
      </c>
      <c r="U378" t="s">
        <v>545</v>
      </c>
      <c r="V378" t="s">
        <v>39</v>
      </c>
      <c r="W378" t="n" s="2">
        <v>1.06</v>
      </c>
    </row>
    <row r="379">
      <c r="A379" t="s" s="0">
        <v>1508</v>
      </c>
      <c r="B379" t="s" s="0">
        <v>24</v>
      </c>
      <c r="C379" t="s" s="0">
        <v>1509</v>
      </c>
      <c r="D379" t="s" s="0">
        <v>1510</v>
      </c>
      <c r="E379" t="s" s="0">
        <v>661</v>
      </c>
      <c r="F379" t="s" s="0">
        <v>1511</v>
      </c>
      <c r="G379" t="s" s="0">
        <v>46</v>
      </c>
      <c r="H379" t="s" s="0">
        <v>1522</v>
      </c>
      <c r="I379" t="s" s="0">
        <v>31</v>
      </c>
      <c r="J379" t="n" s="2">
        <v>4.05</v>
      </c>
      <c r="K379" t="n" s="2">
        <v>3.0</v>
      </c>
      <c r="L379" t="n" s="2">
        <v>1.05</v>
      </c>
      <c r="M379" s="3">
        <f>IFERROR(K379/J379,0)</f>
      </c>
      <c r="N379" t="s">
        <v>141</v>
      </c>
      <c r="O379" t="s">
        <v>902</v>
      </c>
      <c r="P379" t="s">
        <v>1523</v>
      </c>
      <c r="Q379" t="s">
        <v>1524</v>
      </c>
      <c r="R379" t="s">
        <v>1525</v>
      </c>
      <c r="S379" t="s">
        <v>83</v>
      </c>
      <c r="T379" t="n" s="2">
        <v>5.351</v>
      </c>
      <c r="U379" t="s">
        <v>1526</v>
      </c>
      <c r="V379" t="s">
        <v>1527</v>
      </c>
      <c r="W379" t="n" s="2">
        <v>1.3</v>
      </c>
    </row>
    <row r="380">
      <c r="A380" t="s" s="0">
        <v>1528</v>
      </c>
      <c r="B380" t="s" s="0">
        <v>24</v>
      </c>
      <c r="C380" t="s" s="0">
        <v>1529</v>
      </c>
      <c r="D380" t="s" s="0">
        <v>1530</v>
      </c>
      <c r="E380" t="s" s="0">
        <v>111</v>
      </c>
      <c r="F380" t="s" s="0">
        <v>1531</v>
      </c>
      <c r="G380" t="s" s="0">
        <v>864</v>
      </c>
      <c r="H380" t="s" s="0">
        <v>1532</v>
      </c>
      <c r="I380" t="s" s="0">
        <v>31</v>
      </c>
      <c r="J380" t="n" s="2">
        <v>9.0</v>
      </c>
      <c r="K380" t="n" s="2">
        <v>5.0</v>
      </c>
      <c r="L380" t="n" s="2">
        <v>4.0</v>
      </c>
      <c r="M380" s="3">
        <f>IFERROR(K380/J380,0)</f>
      </c>
      <c r="N380" t="s">
        <v>1533</v>
      </c>
      <c r="O380" t="s">
        <v>364</v>
      </c>
      <c r="P380" t="s">
        <v>1534</v>
      </c>
      <c r="Q380" t="s">
        <v>1320</v>
      </c>
      <c r="R380" t="s">
        <v>1535</v>
      </c>
      <c r="S380" t="s">
        <v>986</v>
      </c>
      <c r="U380" t="s">
        <v>39</v>
      </c>
      <c r="V380" t="s">
        <v>39</v>
      </c>
      <c r="W380" t="s">
        <v>39</v>
      </c>
    </row>
    <row r="381">
      <c r="A381" t="s" s="0">
        <v>1528</v>
      </c>
      <c r="B381" t="s" s="0">
        <v>24</v>
      </c>
      <c r="C381" t="s" s="0">
        <v>1529</v>
      </c>
      <c r="D381" t="s" s="0">
        <v>1530</v>
      </c>
      <c r="E381" t="s" s="0">
        <v>111</v>
      </c>
      <c r="F381" t="s" s="0">
        <v>1531</v>
      </c>
      <c r="G381" t="s" s="0">
        <v>66</v>
      </c>
      <c r="H381" t="s" s="0">
        <v>1536</v>
      </c>
      <c r="I381" t="s" s="0">
        <v>31</v>
      </c>
      <c r="J381" t="n" s="2">
        <v>4.8</v>
      </c>
      <c r="K381" t="n" s="2">
        <v>3.2</v>
      </c>
      <c r="L381" t="n" s="2">
        <v>1.6</v>
      </c>
      <c r="M381" s="3">
        <f>IFERROR(K381/J381,0)</f>
      </c>
      <c r="N381" t="s">
        <v>1533</v>
      </c>
      <c r="O381" t="s">
        <v>364</v>
      </c>
      <c r="P381" t="s">
        <v>1537</v>
      </c>
      <c r="Q381" t="s">
        <v>1538</v>
      </c>
      <c r="R381" t="s">
        <v>1539</v>
      </c>
      <c r="S381" t="s">
        <v>32</v>
      </c>
      <c r="T381" t="n" s="2">
        <v>4.3</v>
      </c>
      <c r="U381" t="s">
        <v>1540</v>
      </c>
      <c r="V381" t="s">
        <v>1105</v>
      </c>
      <c r="W381" t="n" s="2">
        <v>-0.5</v>
      </c>
    </row>
    <row r="382">
      <c r="A382" t="s" s="0">
        <v>1528</v>
      </c>
      <c r="B382" t="s" s="0">
        <v>24</v>
      </c>
      <c r="C382" t="s" s="0">
        <v>1529</v>
      </c>
      <c r="D382" t="s" s="0">
        <v>1530</v>
      </c>
      <c r="E382" t="s" s="0">
        <v>111</v>
      </c>
      <c r="F382" t="s" s="0">
        <v>1531</v>
      </c>
      <c r="G382" t="s" s="0">
        <v>66</v>
      </c>
      <c r="H382" t="s" s="0">
        <v>1541</v>
      </c>
      <c r="I382" t="s" s="0">
        <v>31</v>
      </c>
      <c r="J382" t="n" s="2">
        <v>4.6</v>
      </c>
      <c r="K382" t="n" s="2">
        <v>3.0</v>
      </c>
      <c r="L382" t="n" s="2">
        <v>1.6</v>
      </c>
      <c r="M382" s="3">
        <f>IFERROR(K382/J382,0)</f>
      </c>
      <c r="N382" t="s">
        <v>1533</v>
      </c>
      <c r="O382" t="s">
        <v>364</v>
      </c>
      <c r="P382" t="s">
        <v>1542</v>
      </c>
      <c r="Q382" t="s">
        <v>1543</v>
      </c>
      <c r="R382" t="s">
        <v>1544</v>
      </c>
      <c r="S382" t="s">
        <v>42</v>
      </c>
      <c r="T382" t="n" s="2">
        <v>4.3</v>
      </c>
      <c r="U382" t="s">
        <v>1545</v>
      </c>
      <c r="V382" t="s">
        <v>1546</v>
      </c>
      <c r="W382" t="n" s="2">
        <v>-0.3</v>
      </c>
    </row>
    <row r="383">
      <c r="A383" t="s" s="0">
        <v>1528</v>
      </c>
      <c r="B383" t="s" s="0">
        <v>24</v>
      </c>
      <c r="C383" t="s" s="0">
        <v>1529</v>
      </c>
      <c r="D383" t="s" s="0">
        <v>1530</v>
      </c>
      <c r="E383" t="s" s="0">
        <v>111</v>
      </c>
      <c r="F383" t="s" s="0">
        <v>1531</v>
      </c>
      <c r="G383" t="s" s="0">
        <v>651</v>
      </c>
      <c r="H383" t="s" s="0">
        <v>1547</v>
      </c>
      <c r="I383" t="s" s="0">
        <v>31</v>
      </c>
      <c r="J383" t="n" s="2">
        <v>4.85</v>
      </c>
      <c r="K383" t="s">
        <v>33</v>
      </c>
      <c r="L383" t="s">
        <v>33</v>
      </c>
      <c r="M383" s="3">
        <f>IFERROR(K383/J383,0)</f>
      </c>
      <c r="N383" t="s">
        <v>1533</v>
      </c>
      <c r="O383" t="s">
        <v>364</v>
      </c>
      <c r="P383" t="s">
        <v>1548</v>
      </c>
      <c r="Q383" t="s">
        <v>33</v>
      </c>
      <c r="R383" t="s">
        <v>1549</v>
      </c>
      <c r="S383" t="s">
        <v>35</v>
      </c>
      <c r="U383" t="s">
        <v>39</v>
      </c>
      <c r="V383" t="s">
        <v>39</v>
      </c>
      <c r="W383" t="s">
        <v>39</v>
      </c>
    </row>
    <row r="384">
      <c r="A384" t="s" s="0">
        <v>1528</v>
      </c>
      <c r="B384" t="s" s="0">
        <v>24</v>
      </c>
      <c r="C384" t="s" s="0">
        <v>1529</v>
      </c>
      <c r="D384" t="s" s="0">
        <v>1530</v>
      </c>
      <c r="E384" t="s" s="0">
        <v>111</v>
      </c>
      <c r="F384" t="s" s="0">
        <v>1531</v>
      </c>
      <c r="G384" t="s" s="0">
        <v>790</v>
      </c>
      <c r="H384" t="s" s="0">
        <v>1550</v>
      </c>
      <c r="I384" t="s" s="0">
        <v>31</v>
      </c>
      <c r="J384" t="n" s="2">
        <v>5.5</v>
      </c>
      <c r="K384" t="n" s="2">
        <v>3.7</v>
      </c>
      <c r="L384" t="n" s="2">
        <v>1.8</v>
      </c>
      <c r="M384" s="3">
        <f>IFERROR(K384/J384,0)</f>
      </c>
      <c r="N384" t="s">
        <v>1533</v>
      </c>
      <c r="O384" t="s">
        <v>364</v>
      </c>
      <c r="P384" t="s">
        <v>1551</v>
      </c>
      <c r="Q384" t="s">
        <v>1552</v>
      </c>
      <c r="R384" t="s">
        <v>1553</v>
      </c>
      <c r="S384" t="s">
        <v>83</v>
      </c>
      <c r="T384" t="n" s="2">
        <v>5.96</v>
      </c>
      <c r="U384" t="s">
        <v>1554</v>
      </c>
      <c r="V384" t="s">
        <v>1555</v>
      </c>
      <c r="W384" t="n" s="2">
        <v>0.46</v>
      </c>
    </row>
    <row r="385">
      <c r="A385" t="s" s="0">
        <v>1528</v>
      </c>
      <c r="B385" t="s" s="0">
        <v>24</v>
      </c>
      <c r="C385" t="s" s="0">
        <v>1529</v>
      </c>
      <c r="D385" t="s" s="0">
        <v>1530</v>
      </c>
      <c r="E385" t="s" s="0">
        <v>111</v>
      </c>
      <c r="F385" t="s" s="0">
        <v>1531</v>
      </c>
      <c r="G385" t="s" s="0">
        <v>790</v>
      </c>
      <c r="H385" t="s" s="0">
        <v>1217</v>
      </c>
      <c r="I385" t="s" s="0">
        <v>31</v>
      </c>
      <c r="J385" t="n" s="2">
        <v>5.9</v>
      </c>
      <c r="K385" t="n" s="2">
        <v>3.6</v>
      </c>
      <c r="L385" t="n" s="2">
        <v>2.3</v>
      </c>
      <c r="M385" s="3">
        <f>IFERROR(K385/J385,0)</f>
      </c>
      <c r="N385" t="s">
        <v>1533</v>
      </c>
      <c r="O385" t="s">
        <v>364</v>
      </c>
      <c r="P385" t="s">
        <v>1556</v>
      </c>
      <c r="Q385" t="s">
        <v>1557</v>
      </c>
      <c r="R385" t="s">
        <v>1558</v>
      </c>
      <c r="S385" t="s">
        <v>88</v>
      </c>
      <c r="T385" t="n" s="2">
        <v>5.96</v>
      </c>
      <c r="U385" t="s">
        <v>1559</v>
      </c>
      <c r="V385" t="s">
        <v>1560</v>
      </c>
      <c r="W385" t="n" s="2">
        <v>0.06</v>
      </c>
    </row>
    <row r="386">
      <c r="A386" t="s" s="0">
        <v>1528</v>
      </c>
      <c r="B386" t="s" s="0">
        <v>24</v>
      </c>
      <c r="C386" t="s" s="0">
        <v>1529</v>
      </c>
      <c r="D386" t="s" s="0">
        <v>1530</v>
      </c>
      <c r="E386" t="s" s="0">
        <v>111</v>
      </c>
      <c r="F386" t="s" s="0">
        <v>1531</v>
      </c>
      <c r="G386" t="s" s="0">
        <v>790</v>
      </c>
      <c r="H386" t="s" s="0">
        <v>1561</v>
      </c>
      <c r="I386" t="s" s="0">
        <v>31</v>
      </c>
      <c r="J386" t="n" s="2">
        <v>6.0</v>
      </c>
      <c r="K386" t="s">
        <v>33</v>
      </c>
      <c r="L386" t="s">
        <v>33</v>
      </c>
      <c r="M386" s="3">
        <f>IFERROR(K386/J386,0)</f>
      </c>
      <c r="N386" t="s">
        <v>1533</v>
      </c>
      <c r="O386" t="s">
        <v>364</v>
      </c>
      <c r="P386" t="s">
        <v>1562</v>
      </c>
      <c r="Q386" t="s">
        <v>33</v>
      </c>
      <c r="R386" t="s">
        <v>1563</v>
      </c>
      <c r="S386" t="s">
        <v>93</v>
      </c>
      <c r="T386" t="n" s="2">
        <v>5.96</v>
      </c>
      <c r="U386" t="s">
        <v>117</v>
      </c>
      <c r="V386" t="s">
        <v>39</v>
      </c>
      <c r="W386" t="n" s="2">
        <v>-0.04</v>
      </c>
    </row>
    <row r="387">
      <c r="A387" t="s" s="0">
        <v>1528</v>
      </c>
      <c r="B387" t="s" s="0">
        <v>24</v>
      </c>
      <c r="C387" t="s" s="0">
        <v>1529</v>
      </c>
      <c r="D387" t="s" s="0">
        <v>1530</v>
      </c>
      <c r="E387" t="s" s="0">
        <v>111</v>
      </c>
      <c r="F387" t="s" s="0">
        <v>1531</v>
      </c>
      <c r="G387" t="s" s="0">
        <v>46</v>
      </c>
      <c r="H387" t="s" s="0">
        <v>82</v>
      </c>
      <c r="I387" t="s" s="0">
        <v>31</v>
      </c>
      <c r="J387" t="n" s="2">
        <v>6.5</v>
      </c>
      <c r="K387" t="n" s="2">
        <v>4.2</v>
      </c>
      <c r="L387" t="n" s="2">
        <v>2.3</v>
      </c>
      <c r="M387" s="3">
        <f>IFERROR(K387/J387,0)</f>
      </c>
      <c r="N387" t="s">
        <v>1533</v>
      </c>
      <c r="O387" t="s">
        <v>364</v>
      </c>
      <c r="P387" t="s">
        <v>1564</v>
      </c>
      <c r="Q387" t="s">
        <v>1564</v>
      </c>
      <c r="R387" t="s">
        <v>1565</v>
      </c>
      <c r="S387" t="s">
        <v>95</v>
      </c>
      <c r="T387" t="n" s="2">
        <v>7.0</v>
      </c>
      <c r="U387" t="s">
        <v>1566</v>
      </c>
      <c r="V387" t="s">
        <v>1567</v>
      </c>
      <c r="W387" t="n" s="2">
        <v>0.5</v>
      </c>
    </row>
    <row r="388">
      <c r="A388" t="s" s="0">
        <v>1528</v>
      </c>
      <c r="B388" t="s" s="0">
        <v>24</v>
      </c>
      <c r="C388" t="s" s="0">
        <v>1529</v>
      </c>
      <c r="D388" t="s" s="0">
        <v>1530</v>
      </c>
      <c r="E388" t="s" s="0">
        <v>111</v>
      </c>
      <c r="F388" t="s" s="0">
        <v>1531</v>
      </c>
      <c r="G388" t="s" s="0">
        <v>46</v>
      </c>
      <c r="H388" t="s" s="0">
        <v>979</v>
      </c>
      <c r="I388" t="s" s="0">
        <v>31</v>
      </c>
      <c r="J388" t="n" s="2">
        <v>7.25</v>
      </c>
      <c r="K388" t="n" s="2">
        <v>4.5</v>
      </c>
      <c r="L388" t="n" s="2">
        <v>2.75</v>
      </c>
      <c r="M388" s="3">
        <f>IFERROR(K388/J388,0)</f>
      </c>
      <c r="N388" t="s">
        <v>1533</v>
      </c>
      <c r="O388" t="s">
        <v>364</v>
      </c>
      <c r="P388" t="s">
        <v>1568</v>
      </c>
      <c r="Q388" t="s">
        <v>1569</v>
      </c>
      <c r="R388" t="s">
        <v>1570</v>
      </c>
      <c r="S388" t="s">
        <v>100</v>
      </c>
      <c r="T388" t="n" s="2">
        <v>7.0</v>
      </c>
      <c r="U388" t="s">
        <v>1571</v>
      </c>
      <c r="V388" t="s">
        <v>1572</v>
      </c>
      <c r="W388" t="n" s="2">
        <v>-0.25</v>
      </c>
    </row>
    <row r="389">
      <c r="A389" t="s" s="0">
        <v>1528</v>
      </c>
      <c r="B389" t="s" s="0">
        <v>24</v>
      </c>
      <c r="C389" t="s" s="0">
        <v>1529</v>
      </c>
      <c r="D389" t="s" s="0">
        <v>1530</v>
      </c>
      <c r="E389" t="s" s="0">
        <v>111</v>
      </c>
      <c r="F389" t="s" s="0">
        <v>1531</v>
      </c>
      <c r="G389" t="s" s="0">
        <v>46</v>
      </c>
      <c r="H389" t="s" s="0">
        <v>980</v>
      </c>
      <c r="I389" t="s" s="0">
        <v>31</v>
      </c>
      <c r="J389" t="n" s="2">
        <v>6.3</v>
      </c>
      <c r="K389" t="n" s="2">
        <v>4.0</v>
      </c>
      <c r="L389" t="n" s="2">
        <v>2.3</v>
      </c>
      <c r="M389" s="3">
        <f>IFERROR(K389/J389,0)</f>
      </c>
      <c r="N389" t="s">
        <v>1533</v>
      </c>
      <c r="O389" t="s">
        <v>364</v>
      </c>
      <c r="P389" t="s">
        <v>1573</v>
      </c>
      <c r="Q389" t="s">
        <v>1574</v>
      </c>
      <c r="R389" t="s">
        <v>1575</v>
      </c>
      <c r="S389" t="s">
        <v>910</v>
      </c>
      <c r="T389" t="n" s="2">
        <v>7.0</v>
      </c>
      <c r="U389" t="s">
        <v>1435</v>
      </c>
      <c r="V389" t="s">
        <v>1576</v>
      </c>
      <c r="W389" t="n" s="2">
        <v>0.7</v>
      </c>
    </row>
    <row r="390">
      <c r="A390" t="s" s="0">
        <v>1528</v>
      </c>
      <c r="B390" t="s" s="0">
        <v>24</v>
      </c>
      <c r="C390" t="s" s="0">
        <v>1529</v>
      </c>
      <c r="D390" t="s" s="0">
        <v>1530</v>
      </c>
      <c r="E390" t="s" s="0">
        <v>111</v>
      </c>
      <c r="F390" t="s" s="0">
        <v>1531</v>
      </c>
      <c r="G390" t="s" s="0">
        <v>271</v>
      </c>
      <c r="H390" t="s" s="0">
        <v>1577</v>
      </c>
      <c r="I390" t="s" s="0">
        <v>31</v>
      </c>
      <c r="J390" t="n" s="2">
        <v>9.1</v>
      </c>
      <c r="K390" t="s">
        <v>33</v>
      </c>
      <c r="L390" t="s">
        <v>33</v>
      </c>
      <c r="M390" s="3">
        <f>IFERROR(K390/J390,0)</f>
      </c>
      <c r="N390" t="s">
        <v>1533</v>
      </c>
      <c r="O390" t="s">
        <v>364</v>
      </c>
      <c r="P390" t="s">
        <v>1307</v>
      </c>
      <c r="Q390" t="s">
        <v>33</v>
      </c>
      <c r="R390" t="s">
        <v>1578</v>
      </c>
      <c r="S390" t="s">
        <v>902</v>
      </c>
      <c r="U390" t="s">
        <v>39</v>
      </c>
      <c r="V390" t="s">
        <v>39</v>
      </c>
      <c r="W390" t="s">
        <v>39</v>
      </c>
    </row>
    <row r="391">
      <c r="A391" t="s" s="0">
        <v>1579</v>
      </c>
      <c r="B391" t="s" s="0">
        <v>24</v>
      </c>
      <c r="C391" t="s" s="0">
        <v>1529</v>
      </c>
      <c r="D391" t="s" s="0">
        <v>1580</v>
      </c>
      <c r="E391" t="s" s="0">
        <v>1581</v>
      </c>
      <c r="F391" t="s" s="0">
        <v>1582</v>
      </c>
      <c r="G391" t="s" s="0">
        <v>66</v>
      </c>
      <c r="H391" t="s" s="0">
        <v>582</v>
      </c>
      <c r="I391" t="s" s="0">
        <v>31</v>
      </c>
      <c r="J391" t="n" s="2">
        <v>4.1</v>
      </c>
      <c r="K391" t="s">
        <v>33</v>
      </c>
      <c r="L391" t="s">
        <v>33</v>
      </c>
      <c r="M391" s="3">
        <f>IFERROR(K391/J391,0)</f>
      </c>
      <c r="N391" t="s">
        <v>566</v>
      </c>
      <c r="O391" t="s">
        <v>1428</v>
      </c>
      <c r="P391" t="s">
        <v>1583</v>
      </c>
      <c r="Q391" t="s">
        <v>33</v>
      </c>
      <c r="R391" t="s">
        <v>1584</v>
      </c>
      <c r="S391" t="s">
        <v>32</v>
      </c>
      <c r="T391" t="n" s="2">
        <v>4.05</v>
      </c>
      <c r="U391" t="s">
        <v>1585</v>
      </c>
      <c r="V391" t="s">
        <v>39</v>
      </c>
      <c r="W391" t="n" s="2">
        <v>-0.05</v>
      </c>
    </row>
    <row r="392">
      <c r="A392" t="s" s="0">
        <v>1579</v>
      </c>
      <c r="B392" t="s" s="0">
        <v>24</v>
      </c>
      <c r="C392" t="s" s="0">
        <v>1529</v>
      </c>
      <c r="D392" t="s" s="0">
        <v>1580</v>
      </c>
      <c r="E392" t="s" s="0">
        <v>1581</v>
      </c>
      <c r="F392" t="s" s="0">
        <v>1582</v>
      </c>
      <c r="G392" t="s" s="0">
        <v>66</v>
      </c>
      <c r="H392" t="s" s="0">
        <v>1541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566</v>
      </c>
      <c r="O392" t="s">
        <v>1428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1579</v>
      </c>
      <c r="B393" t="s" s="0">
        <v>24</v>
      </c>
      <c r="C393" t="s" s="0">
        <v>1529</v>
      </c>
      <c r="D393" t="s" s="0">
        <v>1580</v>
      </c>
      <c r="E393" t="s" s="0">
        <v>1581</v>
      </c>
      <c r="F393" t="s" s="0">
        <v>1582</v>
      </c>
      <c r="G393" t="s" s="0">
        <v>250</v>
      </c>
      <c r="H393" t="s" s="0">
        <v>1316</v>
      </c>
      <c r="I393" t="s" s="0">
        <v>31</v>
      </c>
      <c r="J393" t="n" s="2">
        <v>5.25</v>
      </c>
      <c r="K393" t="s">
        <v>33</v>
      </c>
      <c r="L393" t="s">
        <v>33</v>
      </c>
      <c r="M393" s="3">
        <f>IFERROR(K393/J393,0)</f>
      </c>
      <c r="N393" t="s">
        <v>566</v>
      </c>
      <c r="O393" t="s">
        <v>1428</v>
      </c>
      <c r="P393" t="s">
        <v>1586</v>
      </c>
      <c r="Q393" t="s">
        <v>33</v>
      </c>
      <c r="R393" t="s">
        <v>1587</v>
      </c>
      <c r="S393" t="s">
        <v>35</v>
      </c>
      <c r="T393" t="n" s="2">
        <v>5.1</v>
      </c>
      <c r="U393" t="s">
        <v>1588</v>
      </c>
      <c r="V393" t="s">
        <v>39</v>
      </c>
      <c r="W393" t="n" s="2">
        <v>-0.15</v>
      </c>
    </row>
    <row r="394">
      <c r="A394" t="s" s="0">
        <v>1579</v>
      </c>
      <c r="B394" t="s" s="0">
        <v>24</v>
      </c>
      <c r="C394" t="s" s="0">
        <v>1529</v>
      </c>
      <c r="D394" t="s" s="0">
        <v>1580</v>
      </c>
      <c r="E394" t="s" s="0">
        <v>1581</v>
      </c>
      <c r="F394" t="s" s="0">
        <v>1582</v>
      </c>
      <c r="G394" t="s" s="0">
        <v>46</v>
      </c>
      <c r="H394" t="s" s="0">
        <v>328</v>
      </c>
      <c r="I394" t="s" s="0">
        <v>31</v>
      </c>
      <c r="J394" t="n" s="2">
        <v>5.8</v>
      </c>
      <c r="K394" t="n" s="2">
        <v>3.2</v>
      </c>
      <c r="L394" t="n" s="2">
        <v>2.6</v>
      </c>
      <c r="M394" s="3">
        <f>IFERROR(K394/J394,0)</f>
      </c>
      <c r="N394" t="s">
        <v>566</v>
      </c>
      <c r="O394" t="s">
        <v>1428</v>
      </c>
      <c r="P394" t="s">
        <v>1174</v>
      </c>
      <c r="Q394" t="s">
        <v>1354</v>
      </c>
      <c r="R394" t="s">
        <v>1589</v>
      </c>
      <c r="S394" t="s">
        <v>83</v>
      </c>
      <c r="T394" t="n" s="2">
        <v>6.2</v>
      </c>
      <c r="U394" t="s">
        <v>1590</v>
      </c>
      <c r="V394" t="s">
        <v>1591</v>
      </c>
      <c r="W394" t="n" s="2">
        <v>0.4</v>
      </c>
    </row>
    <row r="395">
      <c r="A395" t="s" s="0">
        <v>1579</v>
      </c>
      <c r="B395" t="s" s="0">
        <v>24</v>
      </c>
      <c r="C395" t="s" s="0">
        <v>1529</v>
      </c>
      <c r="D395" t="s" s="0">
        <v>1580</v>
      </c>
      <c r="E395" t="s" s="0">
        <v>1581</v>
      </c>
      <c r="F395" t="s" s="0">
        <v>1582</v>
      </c>
      <c r="G395" t="s" s="0">
        <v>46</v>
      </c>
      <c r="H395" t="s" s="0">
        <v>291</v>
      </c>
      <c r="I395" t="s" s="0">
        <v>31</v>
      </c>
      <c r="J395" t="n" s="2">
        <v>6.5</v>
      </c>
      <c r="K395" t="s">
        <v>33</v>
      </c>
      <c r="L395" t="s">
        <v>33</v>
      </c>
      <c r="M395" s="3">
        <f>IFERROR(K395/J395,0)</f>
      </c>
      <c r="N395" t="s">
        <v>566</v>
      </c>
      <c r="O395" t="s">
        <v>1428</v>
      </c>
      <c r="P395" t="s">
        <v>1592</v>
      </c>
      <c r="Q395" t="s">
        <v>33</v>
      </c>
      <c r="R395" t="s">
        <v>1593</v>
      </c>
      <c r="S395" t="s">
        <v>88</v>
      </c>
      <c r="T395" t="n" s="2">
        <v>6.2</v>
      </c>
      <c r="U395" t="s">
        <v>1594</v>
      </c>
      <c r="V395" t="s">
        <v>39</v>
      </c>
      <c r="W395" t="n" s="2">
        <v>-0.3</v>
      </c>
    </row>
    <row r="396">
      <c r="A396" t="s" s="0">
        <v>1579</v>
      </c>
      <c r="B396" t="s" s="0">
        <v>24</v>
      </c>
      <c r="C396" t="s" s="0">
        <v>1529</v>
      </c>
      <c r="D396" t="s" s="0">
        <v>1580</v>
      </c>
      <c r="E396" t="s" s="0">
        <v>1581</v>
      </c>
      <c r="F396" t="s" s="0">
        <v>1582</v>
      </c>
      <c r="G396" t="s" s="0">
        <v>1368</v>
      </c>
      <c r="H396" t="s" s="0">
        <v>195</v>
      </c>
      <c r="I396" t="s" s="0">
        <v>194</v>
      </c>
      <c r="J396" t="s" s="0">
        <v>33</v>
      </c>
      <c r="K396" t="n" s="2">
        <v>1.853</v>
      </c>
      <c r="L396" t="s">
        <v>33</v>
      </c>
      <c r="M396" s="3">
        <f>IFERROR(K396/J396,0)</f>
      </c>
      <c r="N396" t="s">
        <v>566</v>
      </c>
      <c r="O396" t="s">
        <v>1428</v>
      </c>
      <c r="P396" t="s">
        <v>33</v>
      </c>
      <c r="Q396" t="s">
        <v>1595</v>
      </c>
      <c r="R396" t="s">
        <v>33</v>
      </c>
      <c r="S396" t="s">
        <v>93</v>
      </c>
      <c r="U396" t="s">
        <v>39</v>
      </c>
      <c r="V396" t="s">
        <v>39</v>
      </c>
      <c r="W396" t="s">
        <v>39</v>
      </c>
    </row>
    <row r="397">
      <c r="A397" t="s" s="0">
        <v>1596</v>
      </c>
      <c r="B397" t="s" s="0">
        <v>24</v>
      </c>
      <c r="C397" t="s" s="0">
        <v>1529</v>
      </c>
      <c r="D397" t="s" s="0">
        <v>1597</v>
      </c>
      <c r="E397" t="s" s="0">
        <v>55</v>
      </c>
      <c r="F397" t="s" s="0">
        <v>1598</v>
      </c>
      <c r="G397" t="s" s="0">
        <v>46</v>
      </c>
      <c r="H397" t="s" s="0">
        <v>794</v>
      </c>
      <c r="I397" t="s" s="0">
        <v>31</v>
      </c>
      <c r="J397" t="n" s="2">
        <v>3.9</v>
      </c>
      <c r="K397" t="s">
        <v>33</v>
      </c>
      <c r="L397" t="s">
        <v>33</v>
      </c>
      <c r="M397" s="3">
        <f>IFERROR(K397/J397,0)</f>
      </c>
      <c r="N397" t="s">
        <v>317</v>
      </c>
      <c r="O397" t="s">
        <v>59</v>
      </c>
      <c r="P397" t="s">
        <v>1599</v>
      </c>
      <c r="Q397" t="s">
        <v>33</v>
      </c>
      <c r="R397" t="s">
        <v>1600</v>
      </c>
      <c r="S397" t="s">
        <v>32</v>
      </c>
      <c r="T397" t="n" s="2">
        <v>4.2</v>
      </c>
      <c r="U397" t="s">
        <v>1566</v>
      </c>
      <c r="V397" t="s">
        <v>39</v>
      </c>
      <c r="W397" t="n" s="2">
        <v>0.3</v>
      </c>
    </row>
    <row r="398">
      <c r="A398" t="s" s="0">
        <v>1596</v>
      </c>
      <c r="B398" t="s" s="0">
        <v>24</v>
      </c>
      <c r="C398" t="s" s="0">
        <v>1529</v>
      </c>
      <c r="D398" t="s" s="0">
        <v>1597</v>
      </c>
      <c r="E398" t="s" s="0">
        <v>55</v>
      </c>
      <c r="F398" t="s" s="0">
        <v>1598</v>
      </c>
      <c r="G398" t="s" s="0">
        <v>864</v>
      </c>
      <c r="H398" t="s" s="0">
        <v>622</v>
      </c>
      <c r="I398" t="s" s="0">
        <v>181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317</v>
      </c>
      <c r="O398" t="s">
        <v>59</v>
      </c>
      <c r="P398" t="s">
        <v>1601</v>
      </c>
      <c r="Q398" t="s">
        <v>33</v>
      </c>
      <c r="R398" t="s">
        <v>1602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1596</v>
      </c>
      <c r="B399" t="s" s="0">
        <v>24</v>
      </c>
      <c r="C399" t="s" s="0">
        <v>1529</v>
      </c>
      <c r="D399" t="s" s="0">
        <v>1597</v>
      </c>
      <c r="E399" t="s" s="0">
        <v>55</v>
      </c>
      <c r="F399" t="s" s="0">
        <v>1598</v>
      </c>
      <c r="G399" t="s" s="0">
        <v>801</v>
      </c>
      <c r="H399" t="s" s="0">
        <v>1483</v>
      </c>
      <c r="I399" t="s" s="0">
        <v>181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317</v>
      </c>
      <c r="O399" t="s">
        <v>59</v>
      </c>
      <c r="P399" t="s">
        <v>378</v>
      </c>
      <c r="Q399" t="s">
        <v>33</v>
      </c>
      <c r="R399" t="s">
        <v>1603</v>
      </c>
      <c r="S399" t="s">
        <v>35</v>
      </c>
      <c r="U399" t="s">
        <v>39</v>
      </c>
      <c r="V399" t="s">
        <v>39</v>
      </c>
      <c r="W399" t="s">
        <v>39</v>
      </c>
    </row>
    <row r="400">
      <c r="A400" t="s" s="0">
        <v>1604</v>
      </c>
      <c r="B400" t="s" s="0">
        <v>24</v>
      </c>
      <c r="C400" t="s" s="0">
        <v>1529</v>
      </c>
      <c r="D400" t="s" s="0">
        <v>1605</v>
      </c>
      <c r="E400" t="s" s="0">
        <v>558</v>
      </c>
      <c r="F400" t="s" s="0">
        <v>1606</v>
      </c>
      <c r="G400" t="s" s="0">
        <v>1055</v>
      </c>
      <c r="H400" t="s" s="0">
        <v>193</v>
      </c>
      <c r="I400" t="s" s="0">
        <v>194</v>
      </c>
      <c r="J400" t="n" s="2">
        <v>1.3</v>
      </c>
      <c r="K400" t="s">
        <v>33</v>
      </c>
      <c r="L400" t="s">
        <v>33</v>
      </c>
      <c r="M400" s="3">
        <f>IFERROR(K400/J400,0)</f>
      </c>
      <c r="N400" t="s">
        <v>1425</v>
      </c>
      <c r="O400" t="s">
        <v>32</v>
      </c>
      <c r="P400" t="s">
        <v>1607</v>
      </c>
      <c r="Q400" t="s">
        <v>33</v>
      </c>
      <c r="R400" t="s">
        <v>1608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1604</v>
      </c>
      <c r="B401" t="s" s="0">
        <v>24</v>
      </c>
      <c r="C401" t="s" s="0">
        <v>1529</v>
      </c>
      <c r="D401" t="s" s="0">
        <v>1605</v>
      </c>
      <c r="E401" t="s" s="0">
        <v>558</v>
      </c>
      <c r="F401" t="s" s="0">
        <v>1606</v>
      </c>
      <c r="G401" t="s" s="0">
        <v>66</v>
      </c>
      <c r="H401" t="s" s="0">
        <v>209</v>
      </c>
      <c r="I401" t="s" s="0">
        <v>31</v>
      </c>
      <c r="J401" t="n" s="2">
        <v>1.76</v>
      </c>
      <c r="K401" t="n" s="2">
        <v>1.425</v>
      </c>
      <c r="L401" t="n" s="2">
        <v>0.335</v>
      </c>
      <c r="M401" s="3">
        <f>IFERROR(K401/J401,0)</f>
      </c>
      <c r="N401" t="s">
        <v>1425</v>
      </c>
      <c r="O401" t="s">
        <v>32</v>
      </c>
      <c r="P401" t="s">
        <v>1609</v>
      </c>
      <c r="Q401" t="s">
        <v>1609</v>
      </c>
      <c r="R401" t="s">
        <v>1610</v>
      </c>
      <c r="S401" t="s">
        <v>42</v>
      </c>
      <c r="T401" t="n" s="2">
        <v>2.14</v>
      </c>
      <c r="U401" t="s">
        <v>1155</v>
      </c>
      <c r="V401" t="s">
        <v>1611</v>
      </c>
      <c r="W401" t="n" s="2">
        <v>0.38</v>
      </c>
    </row>
    <row r="402">
      <c r="A402" t="s" s="0">
        <v>1604</v>
      </c>
      <c r="B402" t="s" s="0">
        <v>24</v>
      </c>
      <c r="C402" t="s" s="0">
        <v>1529</v>
      </c>
      <c r="D402" t="s" s="0">
        <v>1605</v>
      </c>
      <c r="E402" t="s" s="0">
        <v>558</v>
      </c>
      <c r="F402" t="s" s="0">
        <v>1606</v>
      </c>
      <c r="G402" t="s" s="0">
        <v>46</v>
      </c>
      <c r="H402" t="s" s="0">
        <v>794</v>
      </c>
      <c r="I402" t="s" s="0">
        <v>31</v>
      </c>
      <c r="J402" t="n" s="2">
        <v>3.2</v>
      </c>
      <c r="K402" t="s">
        <v>33</v>
      </c>
      <c r="L402" t="s">
        <v>33</v>
      </c>
      <c r="M402" s="3">
        <f>IFERROR(K402/J402,0)</f>
      </c>
      <c r="N402" t="s">
        <v>1425</v>
      </c>
      <c r="O402" t="s">
        <v>32</v>
      </c>
      <c r="P402" t="s">
        <v>1612</v>
      </c>
      <c r="Q402" t="s">
        <v>33</v>
      </c>
      <c r="R402" t="s">
        <v>33</v>
      </c>
      <c r="S402" t="s">
        <v>35</v>
      </c>
      <c r="T402" t="n" s="2">
        <v>3.07</v>
      </c>
      <c r="U402" t="s">
        <v>1613</v>
      </c>
      <c r="V402" t="s">
        <v>39</v>
      </c>
      <c r="W402" t="n" s="2">
        <v>-0.13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2026-03-12T17:02:54Z</dcterms:created>
  <dc:creator>Apache POI</dc:creator>
</cp:coreProperties>
</file>